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2.xml" ContentType="application/vnd.openxmlformats-officedocument.spreadsheetml.pivotTab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nastanavde/Downloads/PsychoPy/PSY310/Stroop Task/"/>
    </mc:Choice>
  </mc:AlternateContent>
  <xr:revisionPtr revIDLastSave="0" documentId="8_{87E914D0-922C-AC4E-A6B2-DDA6A77E6240}" xr6:coauthVersionLast="47" xr6:coauthVersionMax="47" xr10:uidLastSave="{00000000-0000-0000-0000-000000000000}"/>
  <bookViews>
    <workbookView xWindow="780" yWindow="1020" windowWidth="27640" windowHeight="15960" xr2:uid="{6FC15BC4-F9B9-DF43-A630-BA9DE6A7733D}"/>
  </bookViews>
  <sheets>
    <sheet name="Analysis" sheetId="1" r:id="rId1"/>
    <sheet name="PivotTable" sheetId="3" r:id="rId2"/>
    <sheet name="PivotTable2" sheetId="5" r:id="rId3"/>
  </sheets>
  <definedNames>
    <definedName name="_xlnm._FilterDatabase" localSheetId="0" hidden="1">Analysis!$I$1:$I$22</definedName>
  </definedNames>
  <calcPr calcId="181029"/>
  <pivotCaches>
    <pivotCache cacheId="9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6" i="1" l="1"/>
  <c r="A26" i="1"/>
  <c r="I4" i="1"/>
  <c r="I3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" i="1"/>
</calcChain>
</file>

<file path=xl/sharedStrings.xml><?xml version="1.0" encoding="utf-8"?>
<sst xmlns="http://schemas.openxmlformats.org/spreadsheetml/2006/main" count="128" uniqueCount="36">
  <si>
    <t>color</t>
  </si>
  <si>
    <t>word</t>
  </si>
  <si>
    <t>corr_resp</t>
  </si>
  <si>
    <t>thisN</t>
  </si>
  <si>
    <t>red</t>
  </si>
  <si>
    <t>Red</t>
  </si>
  <si>
    <t>y</t>
  </si>
  <si>
    <t>yellow</t>
  </si>
  <si>
    <t>Orange</t>
  </si>
  <si>
    <t>n</t>
  </si>
  <si>
    <t>orange</t>
  </si>
  <si>
    <t>Yellow</t>
  </si>
  <si>
    <t>green</t>
  </si>
  <si>
    <t>Blue</t>
  </si>
  <si>
    <t>purple</t>
  </si>
  <si>
    <t>Purple</t>
  </si>
  <si>
    <t>blue</t>
  </si>
  <si>
    <t>Green</t>
  </si>
  <si>
    <t>pink</t>
  </si>
  <si>
    <t>Pink</t>
  </si>
  <si>
    <t>key_resp.keys</t>
  </si>
  <si>
    <t>key_resp.corr</t>
  </si>
  <si>
    <t>key_resp.rt</t>
  </si>
  <si>
    <t>congruence</t>
  </si>
  <si>
    <t>Congruous</t>
  </si>
  <si>
    <t>Incongruos</t>
  </si>
  <si>
    <t>incongruous_rts</t>
  </si>
  <si>
    <t>congruous_rts</t>
  </si>
  <si>
    <t>Correct/Incorrect</t>
  </si>
  <si>
    <t>Correct</t>
  </si>
  <si>
    <t>Row Labels</t>
  </si>
  <si>
    <t>Different</t>
  </si>
  <si>
    <t>Same</t>
  </si>
  <si>
    <t>Grand Total</t>
  </si>
  <si>
    <t>Average of key_resp.corr</t>
  </si>
  <si>
    <t>Average of key_resp.rt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</si>
</sst>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sz val="10"/>
      <color rgb="FF000000"/>
      <name val="Helvetica Neue"/>
      <family val="2"/>
    </font>
    <font>
      <b/>
      <sz val="10"/>
      <color rgb="FF000000"/>
      <name val="Helvetica Neue"/>
      <family val="2"/>
    </font>
    <font>
      <sz val="12"/>
      <color theme="1"/>
      <name val="Helvetica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0" xfId="0" applyFont="1"/>
    <xf numFmtId="0" fontId="3" fillId="0" borderId="0" xfId="0" applyFont="1"/>
    <xf numFmtId="0" fontId="1" fillId="0" borderId="0" xfId="0" applyFont="1"/>
    <xf numFmtId="0" fontId="4" fillId="0" borderId="0" xfId="0" applyFont="1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[analysis.xlsx]PivotTable!PivotTable2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Percentage Accuracy by Condition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PivotTable!$B$1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PivotTable!$A$2:$A$4</c:f>
              <c:strCache>
                <c:ptCount val="2"/>
                <c:pt idx="0">
                  <c:v>Different</c:v>
                </c:pt>
                <c:pt idx="1">
                  <c:v>Same</c:v>
                </c:pt>
              </c:strCache>
            </c:strRef>
          </c:cat>
          <c:val>
            <c:numRef>
              <c:f>PivotTable!$B$2:$B$4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872-D74D-82AA-A04BB728A6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43168128"/>
        <c:axId val="999778911"/>
      </c:barChart>
      <c:catAx>
        <c:axId val="1943168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9778911"/>
        <c:crosses val="autoZero"/>
        <c:auto val="1"/>
        <c:lblAlgn val="ctr"/>
        <c:lblOffset val="100"/>
        <c:noMultiLvlLbl val="0"/>
      </c:catAx>
      <c:valAx>
        <c:axId val="999778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3168128"/>
        <c:crosses val="autoZero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[analysis.xlsx]PivotTable2!PivotTable3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</a:t>
            </a:r>
            <a:r>
              <a:rPr lang="en-US" baseline="0"/>
              <a:t> Reaction Time by Condition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PivotTable2!$B$1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PivotTable2!$A$2:$A$4</c:f>
              <c:strCache>
                <c:ptCount val="2"/>
                <c:pt idx="0">
                  <c:v>Different</c:v>
                </c:pt>
                <c:pt idx="1">
                  <c:v>Same</c:v>
                </c:pt>
              </c:strCache>
            </c:strRef>
          </c:cat>
          <c:val>
            <c:numRef>
              <c:f>PivotTable2!$B$2:$B$4</c:f>
              <c:numCache>
                <c:formatCode>General</c:formatCode>
                <c:ptCount val="2"/>
                <c:pt idx="0">
                  <c:v>0.83480007983335247</c:v>
                </c:pt>
                <c:pt idx="1">
                  <c:v>0.82153662955556628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DA1-DC41-A0F4-DBE4A5A979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43168128"/>
        <c:axId val="999778911"/>
      </c:barChart>
      <c:catAx>
        <c:axId val="1943168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9778911"/>
        <c:crosses val="autoZero"/>
        <c:auto val="1"/>
        <c:lblAlgn val="ctr"/>
        <c:lblOffset val="100"/>
        <c:noMultiLvlLbl val="0"/>
      </c:catAx>
      <c:valAx>
        <c:axId val="999778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31681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[analysis.xlsx]PivotTable!PivotTable2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Percentage Accuracy by Condition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PivotTable!$B$1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PivotTable!$A$2:$A$4</c:f>
              <c:strCache>
                <c:ptCount val="2"/>
                <c:pt idx="0">
                  <c:v>Different</c:v>
                </c:pt>
                <c:pt idx="1">
                  <c:v>Same</c:v>
                </c:pt>
              </c:strCache>
            </c:strRef>
          </c:cat>
          <c:val>
            <c:numRef>
              <c:f>PivotTable!$B$2:$B$4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0EE-5B43-8E18-CD294D0119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17816528"/>
        <c:axId val="640968320"/>
      </c:barChart>
      <c:catAx>
        <c:axId val="13178165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0968320"/>
        <c:crosses val="autoZero"/>
        <c:auto val="1"/>
        <c:lblAlgn val="ctr"/>
        <c:lblOffset val="100"/>
        <c:noMultiLvlLbl val="0"/>
      </c:catAx>
      <c:valAx>
        <c:axId val="640968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78165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[analysis.xlsx]PivotTable2!PivotTable3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</a:t>
            </a:r>
            <a:r>
              <a:rPr lang="en-US" baseline="0"/>
              <a:t> Reaction Time by Condition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PivotTable2!$B$1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PivotTable2!$A$2:$A$4</c:f>
              <c:strCache>
                <c:ptCount val="2"/>
                <c:pt idx="0">
                  <c:v>Different</c:v>
                </c:pt>
                <c:pt idx="1">
                  <c:v>Same</c:v>
                </c:pt>
              </c:strCache>
            </c:strRef>
          </c:cat>
          <c:val>
            <c:numRef>
              <c:f>PivotTable2!$B$2:$B$4</c:f>
              <c:numCache>
                <c:formatCode>General</c:formatCode>
                <c:ptCount val="2"/>
                <c:pt idx="0">
                  <c:v>0.83480007983335247</c:v>
                </c:pt>
                <c:pt idx="1">
                  <c:v>0.82153662955556628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8C-D147-81C5-0E6E6B7CBE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43168128"/>
        <c:axId val="999778911"/>
      </c:barChart>
      <c:catAx>
        <c:axId val="1943168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9778911"/>
        <c:crosses val="autoZero"/>
        <c:auto val="1"/>
        <c:lblAlgn val="ctr"/>
        <c:lblOffset val="100"/>
        <c:noMultiLvlLbl val="0"/>
      </c:catAx>
      <c:valAx>
        <c:axId val="999778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31681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812800</xdr:colOff>
      <xdr:row>1</xdr:row>
      <xdr:rowOff>0</xdr:rowOff>
    </xdr:from>
    <xdr:to>
      <xdr:col>17</xdr:col>
      <xdr:colOff>431800</xdr:colOff>
      <xdr:row>14</xdr:row>
      <xdr:rowOff>101600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5B588E5E-9E6E-B94E-874E-3557C8DD25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17</xdr:row>
      <xdr:rowOff>0</xdr:rowOff>
    </xdr:from>
    <xdr:to>
      <xdr:col>17</xdr:col>
      <xdr:colOff>444500</xdr:colOff>
      <xdr:row>30</xdr:row>
      <xdr:rowOff>101600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E142060-4B24-F943-9922-2F4AFBACBB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9</xdr:col>
      <xdr:colOff>444500</xdr:colOff>
      <xdr:row>14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24E51F1-EF62-5CDF-593B-5552833316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9</xdr:col>
      <xdr:colOff>444500</xdr:colOff>
      <xdr:row>14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7283216-7C46-55F2-B3C6-67644CFB0F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nas Tanavde" refreshedDate="46275.967234374999" createdVersion="8" refreshedVersion="8" minRefreshableVersion="3" recordCount="21" xr:uid="{F951FAB0-550B-554E-9894-A6BCA68FA3E0}">
  <cacheSource type="worksheet">
    <worksheetSource ref="A1:K22" sheet="Analysis"/>
  </cacheSource>
  <cacheFields count="11">
    <cacheField name="color" numFmtId="0">
      <sharedItems/>
    </cacheField>
    <cacheField name="word" numFmtId="0">
      <sharedItems/>
    </cacheField>
    <cacheField name="corr_resp" numFmtId="0">
      <sharedItems/>
    </cacheField>
    <cacheField name="thisN" numFmtId="0">
      <sharedItems containsSemiMixedTypes="0" containsString="0" containsNumber="1" containsInteger="1" minValue="0" maxValue="20"/>
    </cacheField>
    <cacheField name="key_resp.keys" numFmtId="0">
      <sharedItems/>
    </cacheField>
    <cacheField name="key_resp.corr" numFmtId="0">
      <sharedItems containsSemiMixedTypes="0" containsString="0" containsNumber="1" containsInteger="1" minValue="1" maxValue="1"/>
    </cacheField>
    <cacheField name="Correct/Incorrect" numFmtId="0">
      <sharedItems/>
    </cacheField>
    <cacheField name="key_resp.rt" numFmtId="0">
      <sharedItems containsSemiMixedTypes="0" containsString="0" containsNumber="1" minValue="0.45941320899987698" maxValue="1.6107010840000799" count="21">
        <n v="0.62381720799999096"/>
        <n v="0.91397050000000502"/>
        <n v="0.45941320899987698"/>
        <n v="0.61021233300016298"/>
        <n v="0.617939250000063"/>
        <n v="0.523908708000135"/>
        <n v="0.63618258299993602"/>
        <n v="0.91877391599996405"/>
        <n v="0.87298137499988104"/>
        <n v="0.66356808300019998"/>
        <n v="0.880056958000068"/>
        <n v="0.93709383300006299"/>
        <n v="0.67750337500001501"/>
        <n v="1.37642795800002"/>
        <n v="1.6107010840000799"/>
        <n v="0.89350912500003699"/>
        <n v="0.69256404199995802"/>
        <n v="0.73190662499973802"/>
        <n v="0.81422787500014204"/>
        <n v="1.1207404169999799"/>
        <n v="0.83593216700001005"/>
      </sharedItems>
    </cacheField>
    <cacheField name="congruence" numFmtId="0">
      <sharedItems count="2">
        <s v="Same"/>
        <s v="Different"/>
      </sharedItems>
    </cacheField>
    <cacheField name="congruous_rts" numFmtId="0">
      <sharedItems containsString="0" containsBlank="1" containsNumber="1" minValue="0.617939250000063" maxValue="1.6107010840000799"/>
    </cacheField>
    <cacheField name="incongruous_rts" numFmtId="0">
      <sharedItems containsString="0" containsBlank="1" containsNumber="1" minValue="0.45941320899987698" maxValue="1.3764279580000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">
  <r>
    <s v="red"/>
    <s v="Red"/>
    <s v="y"/>
    <n v="0"/>
    <s v="y"/>
    <n v="1"/>
    <s v="Correct"/>
    <x v="0"/>
    <x v="0"/>
    <n v="0.62381720799999096"/>
    <n v="0.91397050000000502"/>
  </r>
  <r>
    <s v="yellow"/>
    <s v="Orange"/>
    <s v="n"/>
    <n v="1"/>
    <s v="n"/>
    <n v="1"/>
    <s v="Correct"/>
    <x v="1"/>
    <x v="1"/>
    <n v="0.617939250000063"/>
    <n v="0.45941320899987698"/>
  </r>
  <r>
    <s v="orange"/>
    <s v="Yellow"/>
    <s v="n"/>
    <n v="2"/>
    <s v="n"/>
    <n v="1"/>
    <s v="Correct"/>
    <x v="2"/>
    <x v="1"/>
    <n v="0.63618258299993602"/>
    <n v="0.61021233300016298"/>
  </r>
  <r>
    <s v="green"/>
    <s v="Blue"/>
    <s v="n"/>
    <n v="3"/>
    <s v="n"/>
    <n v="1"/>
    <s v="Correct"/>
    <x v="3"/>
    <x v="1"/>
    <n v="0.66356808300019998"/>
    <n v="0.523908708000135"/>
  </r>
  <r>
    <s v="purple"/>
    <s v="Purple"/>
    <s v="y"/>
    <n v="4"/>
    <s v="y"/>
    <n v="1"/>
    <s v="Correct"/>
    <x v="4"/>
    <x v="0"/>
    <n v="0.880056958000068"/>
    <n v="0.91877391599996405"/>
  </r>
  <r>
    <s v="blue"/>
    <s v="Green"/>
    <s v="n"/>
    <n v="5"/>
    <s v="n"/>
    <n v="1"/>
    <s v="Correct"/>
    <x v="5"/>
    <x v="1"/>
    <n v="0.93709383300006299"/>
    <n v="0.87298137499988104"/>
  </r>
  <r>
    <s v="pink"/>
    <s v="Pink"/>
    <s v="y"/>
    <n v="6"/>
    <s v="y"/>
    <n v="1"/>
    <s v="Correct"/>
    <x v="6"/>
    <x v="0"/>
    <n v="1.6107010840000799"/>
    <n v="0.67750337500001501"/>
  </r>
  <r>
    <s v="orange"/>
    <s v="Yellow"/>
    <s v="n"/>
    <n v="7"/>
    <s v="n"/>
    <n v="1"/>
    <s v="Correct"/>
    <x v="7"/>
    <x v="1"/>
    <n v="0.69256404199995802"/>
    <n v="1.37642795800002"/>
  </r>
  <r>
    <s v="green"/>
    <s v="Blue"/>
    <s v="n"/>
    <n v="8"/>
    <s v="n"/>
    <n v="1"/>
    <s v="Correct"/>
    <x v="8"/>
    <x v="1"/>
    <n v="0.73190662499973802"/>
    <n v="0.89350912500003699"/>
  </r>
  <r>
    <s v="red"/>
    <s v="Red"/>
    <s v="y"/>
    <n v="9"/>
    <s v="y"/>
    <n v="1"/>
    <s v="Correct"/>
    <x v="9"/>
    <x v="0"/>
    <m/>
    <n v="0.81422787500014204"/>
  </r>
  <r>
    <s v="pink"/>
    <s v="Pink"/>
    <s v="y"/>
    <n v="10"/>
    <s v="y"/>
    <n v="1"/>
    <s v="Correct"/>
    <x v="10"/>
    <x v="0"/>
    <m/>
    <n v="1.1207404169999799"/>
  </r>
  <r>
    <s v="purple"/>
    <s v="Purple"/>
    <s v="y"/>
    <n v="11"/>
    <s v="y"/>
    <n v="1"/>
    <s v="Correct"/>
    <x v="11"/>
    <x v="0"/>
    <m/>
    <n v="0.83593216700001005"/>
  </r>
  <r>
    <s v="blue"/>
    <s v="Green"/>
    <s v="n"/>
    <n v="12"/>
    <s v="n"/>
    <n v="1"/>
    <s v="Correct"/>
    <x v="12"/>
    <x v="1"/>
    <m/>
    <m/>
  </r>
  <r>
    <s v="yellow"/>
    <s v="Orange"/>
    <s v="n"/>
    <n v="13"/>
    <s v="n"/>
    <n v="1"/>
    <s v="Correct"/>
    <x v="13"/>
    <x v="1"/>
    <m/>
    <m/>
  </r>
  <r>
    <s v="purple"/>
    <s v="Purple"/>
    <s v="y"/>
    <n v="14"/>
    <s v="y"/>
    <n v="1"/>
    <s v="Correct"/>
    <x v="14"/>
    <x v="0"/>
    <m/>
    <m/>
  </r>
  <r>
    <s v="green"/>
    <s v="Blue"/>
    <s v="n"/>
    <n v="15"/>
    <s v="n"/>
    <n v="1"/>
    <s v="Correct"/>
    <x v="15"/>
    <x v="1"/>
    <m/>
    <m/>
  </r>
  <r>
    <s v="red"/>
    <s v="Red"/>
    <s v="y"/>
    <n v="16"/>
    <s v="y"/>
    <n v="1"/>
    <s v="Correct"/>
    <x v="16"/>
    <x v="0"/>
    <m/>
    <m/>
  </r>
  <r>
    <s v="pink"/>
    <s v="Pink"/>
    <s v="y"/>
    <n v="17"/>
    <s v="y"/>
    <n v="1"/>
    <s v="Correct"/>
    <x v="17"/>
    <x v="0"/>
    <m/>
    <m/>
  </r>
  <r>
    <s v="orange"/>
    <s v="Yellow"/>
    <s v="n"/>
    <n v="18"/>
    <s v="n"/>
    <n v="1"/>
    <s v="Correct"/>
    <x v="18"/>
    <x v="1"/>
    <m/>
    <m/>
  </r>
  <r>
    <s v="blue"/>
    <s v="Green"/>
    <s v="n"/>
    <n v="19"/>
    <s v="n"/>
    <n v="1"/>
    <s v="Correct"/>
    <x v="19"/>
    <x v="1"/>
    <m/>
    <m/>
  </r>
  <r>
    <s v="yellow"/>
    <s v="Orange"/>
    <s v="n"/>
    <n v="20"/>
    <s v="n"/>
    <n v="1"/>
    <s v="Correct"/>
    <x v="20"/>
    <x v="1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434C24D-FFC7-9741-8958-31CCDA9C5915}" name="PivotTable2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0">
  <location ref="A1:B4" firstHeaderRow="1" firstDataRow="1" firstDataCol="1"/>
  <pivotFields count="11">
    <pivotField showAll="0"/>
    <pivotField showAll="0"/>
    <pivotField showAll="0"/>
    <pivotField showAll="0"/>
    <pivotField showAll="0"/>
    <pivotField dataField="1" showAll="0"/>
    <pivotField showAll="0"/>
    <pivotField showAll="0"/>
    <pivotField axis="axisRow" showAll="0">
      <items count="3">
        <item x="1"/>
        <item x="0"/>
        <item t="default"/>
      </items>
    </pivotField>
    <pivotField showAll="0"/>
    <pivotField showAll="0"/>
  </pivotFields>
  <rowFields count="1">
    <field x="8"/>
  </rowFields>
  <rowItems count="3">
    <i>
      <x/>
    </i>
    <i>
      <x v="1"/>
    </i>
    <i t="grand">
      <x/>
    </i>
  </rowItems>
  <colItems count="1">
    <i/>
  </colItems>
  <dataFields count="1">
    <dataField name="Average of key_resp.corr" fld="5" subtotal="average" showDataAs="percentOfTotal" baseField="0" baseItem="0" numFmtId="1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C4C2233-A434-414D-9340-2287DCC35A64}" name="PivotTable3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1:B4" firstHeaderRow="1" firstDataRow="1" firstDataCol="1"/>
  <pivotFields count="11">
    <pivotField showAll="0"/>
    <pivotField showAll="0"/>
    <pivotField showAll="0"/>
    <pivotField showAll="0"/>
    <pivotField showAll="0"/>
    <pivotField showAll="0"/>
    <pivotField showAll="0"/>
    <pivotField dataField="1" showAll="0">
      <items count="22">
        <item x="2"/>
        <item x="5"/>
        <item x="3"/>
        <item x="4"/>
        <item x="0"/>
        <item x="6"/>
        <item x="9"/>
        <item x="12"/>
        <item x="16"/>
        <item x="17"/>
        <item x="18"/>
        <item x="20"/>
        <item x="8"/>
        <item x="10"/>
        <item x="15"/>
        <item x="1"/>
        <item x="7"/>
        <item x="11"/>
        <item x="19"/>
        <item x="13"/>
        <item x="14"/>
        <item t="default"/>
      </items>
    </pivotField>
    <pivotField axis="axisRow" showAll="0">
      <items count="3">
        <item x="1"/>
        <item x="0"/>
        <item t="default"/>
      </items>
    </pivotField>
    <pivotField showAll="0"/>
    <pivotField showAll="0"/>
  </pivotFields>
  <rowFields count="1">
    <field x="8"/>
  </rowFields>
  <rowItems count="3">
    <i>
      <x/>
    </i>
    <i>
      <x v="1"/>
    </i>
    <i t="grand">
      <x/>
    </i>
  </rowItems>
  <colItems count="1">
    <i/>
  </colItems>
  <dataFields count="1">
    <dataField name="Average of key_resp.rt" fld="7" subtotal="average" baseField="0" baseItem="0"/>
  </dataFields>
  <chartFormats count="4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63F17-480B-F342-B6FC-C6AC1C206056}">
  <dimension ref="A1:K54"/>
  <sheetViews>
    <sheetView tabSelected="1" workbookViewId="0">
      <selection activeCell="J21" sqref="J21"/>
    </sheetView>
  </sheetViews>
  <sheetFormatPr baseColWidth="10" defaultRowHeight="16" x14ac:dyDescent="0.2"/>
  <cols>
    <col min="5" max="5" width="12.5" bestFit="1" customWidth="1"/>
    <col min="6" max="6" width="12.1640625" bestFit="1" customWidth="1"/>
    <col min="7" max="7" width="15.5" bestFit="1" customWidth="1"/>
    <col min="10" max="10" width="13" bestFit="1" customWidth="1"/>
    <col min="11" max="11" width="14.1640625" bestFit="1" customWidth="1"/>
  </cols>
  <sheetData>
    <row r="1" spans="1:1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20</v>
      </c>
      <c r="F1" s="1" t="s">
        <v>21</v>
      </c>
      <c r="G1" s="1" t="s">
        <v>28</v>
      </c>
      <c r="H1" s="1" t="s">
        <v>22</v>
      </c>
      <c r="I1" s="4" t="s">
        <v>23</v>
      </c>
      <c r="J1" s="4" t="s">
        <v>27</v>
      </c>
      <c r="K1" s="1" t="s">
        <v>26</v>
      </c>
    </row>
    <row r="2" spans="1:11" x14ac:dyDescent="0.2">
      <c r="A2" s="1" t="s">
        <v>4</v>
      </c>
      <c r="B2" s="3" t="s">
        <v>5</v>
      </c>
      <c r="C2" s="3" t="s">
        <v>6</v>
      </c>
      <c r="D2" s="3">
        <v>0</v>
      </c>
      <c r="E2" s="3" t="s">
        <v>6</v>
      </c>
      <c r="F2" s="3">
        <v>1</v>
      </c>
      <c r="G2" s="3" t="s">
        <v>29</v>
      </c>
      <c r="H2" s="3">
        <v>0.62381720799999096</v>
      </c>
      <c r="I2" t="str">
        <f>IF(TRIM(A2)=TRIM(B2), "Same", "Different")</f>
        <v>Same</v>
      </c>
      <c r="J2" s="3">
        <v>0.62381720799999096</v>
      </c>
      <c r="K2" s="3">
        <v>0.91397050000000502</v>
      </c>
    </row>
    <row r="3" spans="1:11" x14ac:dyDescent="0.2">
      <c r="A3" s="1" t="s">
        <v>7</v>
      </c>
      <c r="B3" s="3" t="s">
        <v>8</v>
      </c>
      <c r="C3" s="3" t="s">
        <v>9</v>
      </c>
      <c r="D3" s="3">
        <v>1</v>
      </c>
      <c r="E3" s="3" t="s">
        <v>9</v>
      </c>
      <c r="F3" s="3">
        <v>1</v>
      </c>
      <c r="G3" s="3" t="s">
        <v>29</v>
      </c>
      <c r="H3" s="3">
        <v>0.91397050000000502</v>
      </c>
      <c r="I3" t="str">
        <f>IF(TRIM(A3)=TRIM(B3), "Same", "Different")</f>
        <v>Different</v>
      </c>
      <c r="J3" s="3">
        <v>0.617939250000063</v>
      </c>
      <c r="K3" s="3">
        <v>0.45941320899987698</v>
      </c>
    </row>
    <row r="4" spans="1:11" x14ac:dyDescent="0.2">
      <c r="A4" s="1" t="s">
        <v>10</v>
      </c>
      <c r="B4" s="3" t="s">
        <v>11</v>
      </c>
      <c r="C4" s="3" t="s">
        <v>9</v>
      </c>
      <c r="D4" s="3">
        <v>2</v>
      </c>
      <c r="E4" s="3" t="s">
        <v>9</v>
      </c>
      <c r="F4" s="3">
        <v>1</v>
      </c>
      <c r="G4" s="3" t="s">
        <v>29</v>
      </c>
      <c r="H4" s="3">
        <v>0.45941320899987698</v>
      </c>
      <c r="I4" t="str">
        <f>IF(TRIM(A4)=TRIM(B4), "Same", "Different")</f>
        <v>Different</v>
      </c>
      <c r="J4" s="3">
        <v>0.63618258299993602</v>
      </c>
      <c r="K4" s="3">
        <v>0.61021233300016298</v>
      </c>
    </row>
    <row r="5" spans="1:11" x14ac:dyDescent="0.2">
      <c r="A5" s="1" t="s">
        <v>12</v>
      </c>
      <c r="B5" s="3" t="s">
        <v>13</v>
      </c>
      <c r="C5" s="3" t="s">
        <v>9</v>
      </c>
      <c r="D5" s="3">
        <v>3</v>
      </c>
      <c r="E5" s="3" t="s">
        <v>9</v>
      </c>
      <c r="F5" s="3">
        <v>1</v>
      </c>
      <c r="G5" s="3" t="s">
        <v>29</v>
      </c>
      <c r="H5" s="3">
        <v>0.61021233300016298</v>
      </c>
      <c r="I5" t="str">
        <f>IF(TRIM(A5)=TRIM(B5), "Same", "Different")</f>
        <v>Different</v>
      </c>
      <c r="J5" s="3">
        <v>0.66356808300019998</v>
      </c>
      <c r="K5" s="3">
        <v>0.523908708000135</v>
      </c>
    </row>
    <row r="6" spans="1:11" x14ac:dyDescent="0.2">
      <c r="A6" s="1" t="s">
        <v>14</v>
      </c>
      <c r="B6" s="3" t="s">
        <v>15</v>
      </c>
      <c r="C6" s="3" t="s">
        <v>6</v>
      </c>
      <c r="D6" s="3">
        <v>4</v>
      </c>
      <c r="E6" s="3" t="s">
        <v>6</v>
      </c>
      <c r="F6" s="3">
        <v>1</v>
      </c>
      <c r="G6" s="3" t="s">
        <v>29</v>
      </c>
      <c r="H6" s="3">
        <v>0.617939250000063</v>
      </c>
      <c r="I6" t="str">
        <f>IF(TRIM(A6)=TRIM(B6), "Same", "Different")</f>
        <v>Same</v>
      </c>
      <c r="J6" s="3">
        <v>0.880056958000068</v>
      </c>
      <c r="K6" s="3">
        <v>0.91877391599996405</v>
      </c>
    </row>
    <row r="7" spans="1:11" x14ac:dyDescent="0.2">
      <c r="A7" s="1" t="s">
        <v>16</v>
      </c>
      <c r="B7" s="3" t="s">
        <v>17</v>
      </c>
      <c r="C7" s="3" t="s">
        <v>9</v>
      </c>
      <c r="D7" s="3">
        <v>5</v>
      </c>
      <c r="E7" s="3" t="s">
        <v>9</v>
      </c>
      <c r="F7" s="3">
        <v>1</v>
      </c>
      <c r="G7" s="3" t="s">
        <v>29</v>
      </c>
      <c r="H7" s="3">
        <v>0.523908708000135</v>
      </c>
      <c r="I7" t="str">
        <f>IF(TRIM(A7)=TRIM(B7), "Same", "Different")</f>
        <v>Different</v>
      </c>
      <c r="J7" s="3">
        <v>0.93709383300006299</v>
      </c>
      <c r="K7" s="3">
        <v>0.87298137499988104</v>
      </c>
    </row>
    <row r="8" spans="1:11" x14ac:dyDescent="0.2">
      <c r="A8" s="1" t="s">
        <v>18</v>
      </c>
      <c r="B8" s="3" t="s">
        <v>19</v>
      </c>
      <c r="C8" s="3" t="s">
        <v>6</v>
      </c>
      <c r="D8" s="3">
        <v>6</v>
      </c>
      <c r="E8" s="3" t="s">
        <v>6</v>
      </c>
      <c r="F8" s="3">
        <v>1</v>
      </c>
      <c r="G8" s="3" t="s">
        <v>29</v>
      </c>
      <c r="H8" s="3">
        <v>0.63618258299993602</v>
      </c>
      <c r="I8" t="str">
        <f>IF(TRIM(A8)=TRIM(B8), "Same", "Different")</f>
        <v>Same</v>
      </c>
      <c r="J8" s="3">
        <v>1.6107010840000799</v>
      </c>
      <c r="K8" s="3">
        <v>0.67750337500001501</v>
      </c>
    </row>
    <row r="9" spans="1:11" x14ac:dyDescent="0.2">
      <c r="A9" s="1" t="s">
        <v>10</v>
      </c>
      <c r="B9" s="3" t="s">
        <v>11</v>
      </c>
      <c r="C9" s="3" t="s">
        <v>9</v>
      </c>
      <c r="D9" s="3">
        <v>7</v>
      </c>
      <c r="E9" s="3" t="s">
        <v>9</v>
      </c>
      <c r="F9" s="3">
        <v>1</v>
      </c>
      <c r="G9" s="3" t="s">
        <v>29</v>
      </c>
      <c r="H9" s="3">
        <v>0.91877391599996405</v>
      </c>
      <c r="I9" t="str">
        <f>IF(TRIM(A9)=TRIM(B9), "Same", "Different")</f>
        <v>Different</v>
      </c>
      <c r="J9" s="3">
        <v>0.69256404199995802</v>
      </c>
      <c r="K9" s="3">
        <v>1.37642795800002</v>
      </c>
    </row>
    <row r="10" spans="1:11" x14ac:dyDescent="0.2">
      <c r="A10" s="1" t="s">
        <v>12</v>
      </c>
      <c r="B10" s="3" t="s">
        <v>13</v>
      </c>
      <c r="C10" s="3" t="s">
        <v>9</v>
      </c>
      <c r="D10" s="3">
        <v>8</v>
      </c>
      <c r="E10" s="3" t="s">
        <v>9</v>
      </c>
      <c r="F10" s="3">
        <v>1</v>
      </c>
      <c r="G10" s="3" t="s">
        <v>29</v>
      </c>
      <c r="H10" s="3">
        <v>0.87298137499988104</v>
      </c>
      <c r="I10" t="str">
        <f>IF(TRIM(A10)=TRIM(B10), "Same", "Different")</f>
        <v>Different</v>
      </c>
      <c r="J10" s="3">
        <v>0.73190662499973802</v>
      </c>
      <c r="K10" s="3">
        <v>0.89350912500003699</v>
      </c>
    </row>
    <row r="11" spans="1:11" x14ac:dyDescent="0.2">
      <c r="A11" s="1" t="s">
        <v>4</v>
      </c>
      <c r="B11" s="3" t="s">
        <v>5</v>
      </c>
      <c r="C11" s="3" t="s">
        <v>6</v>
      </c>
      <c r="D11" s="3">
        <v>9</v>
      </c>
      <c r="E11" s="3" t="s">
        <v>6</v>
      </c>
      <c r="F11" s="3">
        <v>1</v>
      </c>
      <c r="G11" s="3" t="s">
        <v>29</v>
      </c>
      <c r="H11" s="3">
        <v>0.66356808300019998</v>
      </c>
      <c r="I11" t="str">
        <f>IF(TRIM(A11)=TRIM(B11), "Same", "Different")</f>
        <v>Same</v>
      </c>
      <c r="J11" s="3"/>
      <c r="K11" s="3">
        <v>0.81422787500014204</v>
      </c>
    </row>
    <row r="12" spans="1:11" x14ac:dyDescent="0.2">
      <c r="A12" s="1" t="s">
        <v>18</v>
      </c>
      <c r="B12" s="3" t="s">
        <v>19</v>
      </c>
      <c r="C12" s="3" t="s">
        <v>6</v>
      </c>
      <c r="D12" s="3">
        <v>10</v>
      </c>
      <c r="E12" s="3" t="s">
        <v>6</v>
      </c>
      <c r="F12" s="3">
        <v>1</v>
      </c>
      <c r="G12" s="3" t="s">
        <v>29</v>
      </c>
      <c r="H12" s="3">
        <v>0.880056958000068</v>
      </c>
      <c r="I12" t="str">
        <f>IF(TRIM(A12)=TRIM(B12), "Same", "Different")</f>
        <v>Same</v>
      </c>
      <c r="J12" s="3"/>
      <c r="K12" s="3">
        <v>1.1207404169999799</v>
      </c>
    </row>
    <row r="13" spans="1:11" x14ac:dyDescent="0.2">
      <c r="A13" s="1" t="s">
        <v>14</v>
      </c>
      <c r="B13" s="3" t="s">
        <v>15</v>
      </c>
      <c r="C13" s="3" t="s">
        <v>6</v>
      </c>
      <c r="D13" s="3">
        <v>11</v>
      </c>
      <c r="E13" s="3" t="s">
        <v>6</v>
      </c>
      <c r="F13" s="3">
        <v>1</v>
      </c>
      <c r="G13" s="3" t="s">
        <v>29</v>
      </c>
      <c r="H13" s="3">
        <v>0.93709383300006299</v>
      </c>
      <c r="I13" t="str">
        <f>IF(TRIM(A13)=TRIM(B13), "Same", "Different")</f>
        <v>Same</v>
      </c>
      <c r="J13" s="3"/>
      <c r="K13" s="3">
        <v>0.83593216700001005</v>
      </c>
    </row>
    <row r="14" spans="1:11" x14ac:dyDescent="0.2">
      <c r="A14" s="1" t="s">
        <v>16</v>
      </c>
      <c r="B14" s="3" t="s">
        <v>17</v>
      </c>
      <c r="C14" s="3" t="s">
        <v>9</v>
      </c>
      <c r="D14" s="3">
        <v>12</v>
      </c>
      <c r="E14" s="3" t="s">
        <v>9</v>
      </c>
      <c r="F14" s="3">
        <v>1</v>
      </c>
      <c r="G14" s="3" t="s">
        <v>29</v>
      </c>
      <c r="H14" s="3">
        <v>0.67750337500001501</v>
      </c>
      <c r="I14" t="str">
        <f>IF(TRIM(A14)=TRIM(B14), "Same", "Different")</f>
        <v>Different</v>
      </c>
    </row>
    <row r="15" spans="1:11" x14ac:dyDescent="0.2">
      <c r="A15" s="1" t="s">
        <v>7</v>
      </c>
      <c r="B15" s="3" t="s">
        <v>8</v>
      </c>
      <c r="C15" s="3" t="s">
        <v>9</v>
      </c>
      <c r="D15" s="3">
        <v>13</v>
      </c>
      <c r="E15" s="3" t="s">
        <v>9</v>
      </c>
      <c r="F15" s="3">
        <v>1</v>
      </c>
      <c r="G15" s="3" t="s">
        <v>29</v>
      </c>
      <c r="H15" s="3">
        <v>1.37642795800002</v>
      </c>
      <c r="I15" t="str">
        <f>IF(TRIM(A15)=TRIM(B15), "Same", "Different")</f>
        <v>Different</v>
      </c>
    </row>
    <row r="16" spans="1:11" x14ac:dyDescent="0.2">
      <c r="A16" s="1" t="s">
        <v>14</v>
      </c>
      <c r="B16" s="3" t="s">
        <v>15</v>
      </c>
      <c r="C16" s="3" t="s">
        <v>6</v>
      </c>
      <c r="D16" s="3">
        <v>14</v>
      </c>
      <c r="E16" s="3" t="s">
        <v>6</v>
      </c>
      <c r="F16" s="3">
        <v>1</v>
      </c>
      <c r="G16" s="3" t="s">
        <v>29</v>
      </c>
      <c r="H16" s="3">
        <v>1.6107010840000799</v>
      </c>
      <c r="I16" t="str">
        <f>IF(TRIM(A16)=TRIM(B16), "Same", "Different")</f>
        <v>Same</v>
      </c>
      <c r="J16" s="3"/>
    </row>
    <row r="17" spans="1:10" x14ac:dyDescent="0.2">
      <c r="A17" s="1" t="s">
        <v>12</v>
      </c>
      <c r="B17" s="3" t="s">
        <v>13</v>
      </c>
      <c r="C17" s="3" t="s">
        <v>9</v>
      </c>
      <c r="D17" s="3">
        <v>15</v>
      </c>
      <c r="E17" s="3" t="s">
        <v>9</v>
      </c>
      <c r="F17" s="3">
        <v>1</v>
      </c>
      <c r="G17" s="3" t="s">
        <v>29</v>
      </c>
      <c r="H17" s="3">
        <v>0.89350912500003699</v>
      </c>
      <c r="I17" t="str">
        <f>IF(TRIM(A17)=TRIM(B17), "Same", "Different")</f>
        <v>Different</v>
      </c>
    </row>
    <row r="18" spans="1:10" x14ac:dyDescent="0.2">
      <c r="A18" s="1" t="s">
        <v>4</v>
      </c>
      <c r="B18" s="3" t="s">
        <v>5</v>
      </c>
      <c r="C18" s="3" t="s">
        <v>6</v>
      </c>
      <c r="D18" s="3">
        <v>16</v>
      </c>
      <c r="E18" s="3" t="s">
        <v>6</v>
      </c>
      <c r="F18" s="3">
        <v>1</v>
      </c>
      <c r="G18" s="3" t="s">
        <v>29</v>
      </c>
      <c r="H18" s="3">
        <v>0.69256404199995802</v>
      </c>
      <c r="I18" t="str">
        <f>IF(TRIM(A18)=TRIM(B18), "Same", "Different")</f>
        <v>Same</v>
      </c>
      <c r="J18" s="3"/>
    </row>
    <row r="19" spans="1:10" x14ac:dyDescent="0.2">
      <c r="A19" s="1" t="s">
        <v>18</v>
      </c>
      <c r="B19" s="3" t="s">
        <v>19</v>
      </c>
      <c r="C19" s="3" t="s">
        <v>6</v>
      </c>
      <c r="D19" s="3">
        <v>17</v>
      </c>
      <c r="E19" s="3" t="s">
        <v>6</v>
      </c>
      <c r="F19" s="3">
        <v>1</v>
      </c>
      <c r="G19" s="3" t="s">
        <v>29</v>
      </c>
      <c r="H19" s="3">
        <v>0.73190662499973802</v>
      </c>
      <c r="I19" t="str">
        <f>IF(TRIM(A19)=TRIM(B19), "Same", "Different")</f>
        <v>Same</v>
      </c>
      <c r="J19" s="3"/>
    </row>
    <row r="20" spans="1:10" x14ac:dyDescent="0.2">
      <c r="A20" s="1" t="s">
        <v>10</v>
      </c>
      <c r="B20" s="3" t="s">
        <v>11</v>
      </c>
      <c r="C20" s="3" t="s">
        <v>9</v>
      </c>
      <c r="D20" s="3">
        <v>18</v>
      </c>
      <c r="E20" s="3" t="s">
        <v>9</v>
      </c>
      <c r="F20" s="3">
        <v>1</v>
      </c>
      <c r="G20" s="3" t="s">
        <v>29</v>
      </c>
      <c r="H20" s="3">
        <v>0.81422787500014204</v>
      </c>
      <c r="I20" t="str">
        <f>IF(TRIM(A20)=TRIM(B20), "Same", "Different")</f>
        <v>Different</v>
      </c>
    </row>
    <row r="21" spans="1:10" x14ac:dyDescent="0.2">
      <c r="A21" s="1" t="s">
        <v>16</v>
      </c>
      <c r="B21" s="3" t="s">
        <v>17</v>
      </c>
      <c r="C21" s="3" t="s">
        <v>9</v>
      </c>
      <c r="D21" s="3">
        <v>19</v>
      </c>
      <c r="E21" s="3" t="s">
        <v>9</v>
      </c>
      <c r="F21" s="3">
        <v>1</v>
      </c>
      <c r="G21" s="3" t="s">
        <v>29</v>
      </c>
      <c r="H21" s="3">
        <v>1.1207404169999799</v>
      </c>
      <c r="I21" t="str">
        <f>IF(TRIM(A21)=TRIM(B21), "Same", "Different")</f>
        <v>Different</v>
      </c>
    </row>
    <row r="22" spans="1:10" x14ac:dyDescent="0.2">
      <c r="A22" s="1" t="s">
        <v>7</v>
      </c>
      <c r="B22" s="3" t="s">
        <v>8</v>
      </c>
      <c r="C22" s="3" t="s">
        <v>9</v>
      </c>
      <c r="D22" s="3">
        <v>20</v>
      </c>
      <c r="E22" s="3" t="s">
        <v>9</v>
      </c>
      <c r="F22" s="3">
        <v>1</v>
      </c>
      <c r="G22" s="3" t="s">
        <v>29</v>
      </c>
      <c r="H22" s="3">
        <v>0.83593216700001005</v>
      </c>
      <c r="I22" t="str">
        <f>IF(TRIM(A22)=TRIM(B22), "Same", "Different")</f>
        <v>Different</v>
      </c>
    </row>
    <row r="23" spans="1:10" x14ac:dyDescent="0.2">
      <c r="A23" s="2"/>
      <c r="B23" s="2"/>
      <c r="C23" s="2"/>
      <c r="D23" s="2"/>
      <c r="E23" s="2"/>
      <c r="F23" s="2"/>
      <c r="G23" s="2"/>
      <c r="H23" s="2"/>
      <c r="I23" s="2"/>
      <c r="J23" s="2"/>
    </row>
    <row r="24" spans="1:10" x14ac:dyDescent="0.2">
      <c r="A24" s="1"/>
      <c r="B24" s="3"/>
      <c r="C24" s="3"/>
      <c r="D24" s="3"/>
    </row>
    <row r="25" spans="1:10" x14ac:dyDescent="0.2">
      <c r="A25" s="1" t="s">
        <v>24</v>
      </c>
      <c r="B25" s="1" t="s">
        <v>25</v>
      </c>
      <c r="C25" s="3"/>
      <c r="D25" s="3"/>
    </row>
    <row r="26" spans="1:10" x14ac:dyDescent="0.2">
      <c r="A26" s="3">
        <f>AVERAGE(J2:J10)</f>
        <v>0.82153662955556628</v>
      </c>
      <c r="B26" s="3">
        <f>AVERAGE(K2:K13)</f>
        <v>0.83480007983335247</v>
      </c>
      <c r="C26" s="3"/>
      <c r="D26" s="3"/>
    </row>
    <row r="27" spans="1:10" x14ac:dyDescent="0.2">
      <c r="A27" s="1"/>
      <c r="B27" s="3"/>
      <c r="C27" s="3"/>
      <c r="D27" s="3"/>
    </row>
    <row r="28" spans="1:10" x14ac:dyDescent="0.2">
      <c r="A28" s="1"/>
      <c r="B28" s="3"/>
      <c r="C28" s="3"/>
      <c r="D28" s="3"/>
    </row>
    <row r="29" spans="1:10" x14ac:dyDescent="0.2">
      <c r="A29" s="1"/>
      <c r="B29" s="3"/>
      <c r="C29" s="3"/>
      <c r="D29" s="3"/>
      <c r="J29" s="3"/>
    </row>
    <row r="30" spans="1:10" x14ac:dyDescent="0.2">
      <c r="A30" s="1"/>
      <c r="B30" s="3"/>
      <c r="C30" s="3"/>
      <c r="D30" s="3"/>
      <c r="J30" s="3"/>
    </row>
    <row r="31" spans="1:10" x14ac:dyDescent="0.2">
      <c r="A31" s="1"/>
      <c r="B31" s="3"/>
      <c r="C31" s="3"/>
      <c r="D31" s="3"/>
      <c r="J31" s="3"/>
    </row>
    <row r="32" spans="1:10" x14ac:dyDescent="0.2">
      <c r="A32" s="1"/>
      <c r="B32" s="3"/>
      <c r="C32" s="3"/>
      <c r="D32" s="3"/>
      <c r="J32" s="3"/>
    </row>
    <row r="33" spans="1:10" x14ac:dyDescent="0.2">
      <c r="A33" s="1"/>
      <c r="B33" s="3"/>
      <c r="C33" s="3"/>
      <c r="D33" s="3"/>
      <c r="J33" s="3"/>
    </row>
    <row r="34" spans="1:10" x14ac:dyDescent="0.2">
      <c r="A34" s="1"/>
      <c r="B34" s="3"/>
      <c r="C34" s="3"/>
      <c r="D34" s="3"/>
      <c r="J34" s="3"/>
    </row>
    <row r="35" spans="1:10" x14ac:dyDescent="0.2">
      <c r="A35" s="1"/>
      <c r="B35" s="3"/>
      <c r="C35" s="3"/>
      <c r="D35" s="3"/>
      <c r="J35" s="3"/>
    </row>
    <row r="36" spans="1:10" x14ac:dyDescent="0.2">
      <c r="A36" s="1"/>
      <c r="B36" s="3"/>
      <c r="C36" s="3"/>
      <c r="D36" s="3"/>
      <c r="J36" s="3"/>
    </row>
    <row r="37" spans="1:10" x14ac:dyDescent="0.2">
      <c r="A37" s="1"/>
      <c r="B37" s="3"/>
      <c r="C37" s="3"/>
      <c r="D37" s="3"/>
      <c r="H37" s="3"/>
      <c r="J37" s="3"/>
    </row>
    <row r="38" spans="1:10" x14ac:dyDescent="0.2">
      <c r="A38" s="1"/>
      <c r="B38" s="3"/>
      <c r="C38" s="3"/>
      <c r="D38" s="3"/>
      <c r="H38" s="3"/>
    </row>
    <row r="39" spans="1:10" x14ac:dyDescent="0.2">
      <c r="A39" s="1"/>
      <c r="B39" s="3"/>
      <c r="C39" s="3"/>
      <c r="D39" s="3"/>
      <c r="H39" s="3"/>
    </row>
    <row r="40" spans="1:10" x14ac:dyDescent="0.2">
      <c r="A40" s="1"/>
      <c r="B40" s="3"/>
      <c r="C40" s="3"/>
      <c r="D40" s="3"/>
      <c r="H40" s="3"/>
    </row>
    <row r="41" spans="1:10" x14ac:dyDescent="0.2">
      <c r="A41" s="1"/>
      <c r="B41" s="3"/>
      <c r="C41" s="3"/>
      <c r="D41" s="3"/>
      <c r="H41" s="3"/>
    </row>
    <row r="42" spans="1:10" x14ac:dyDescent="0.2">
      <c r="A42" s="1"/>
      <c r="B42" s="3"/>
      <c r="C42" s="3"/>
      <c r="D42" s="3"/>
      <c r="H42" s="3"/>
    </row>
    <row r="43" spans="1:10" x14ac:dyDescent="0.2">
      <c r="A43" s="1"/>
      <c r="B43" s="3"/>
      <c r="C43" s="3"/>
      <c r="D43" s="3"/>
      <c r="H43" s="3"/>
    </row>
    <row r="44" spans="1:10" x14ac:dyDescent="0.2">
      <c r="A44" s="1"/>
      <c r="B44" s="3"/>
      <c r="C44" s="3"/>
      <c r="D44" s="3"/>
      <c r="H44" s="3"/>
    </row>
    <row r="45" spans="1:10" x14ac:dyDescent="0.2">
      <c r="A45" s="1"/>
      <c r="B45" s="3"/>
      <c r="C45" s="3"/>
      <c r="D45" s="3"/>
      <c r="H45" s="3"/>
    </row>
    <row r="46" spans="1:10" x14ac:dyDescent="0.2">
      <c r="A46" s="1"/>
      <c r="B46" s="3"/>
      <c r="C46" s="3"/>
      <c r="D46" s="3"/>
    </row>
    <row r="47" spans="1:10" x14ac:dyDescent="0.2">
      <c r="A47" s="1"/>
      <c r="B47" s="3"/>
      <c r="C47" s="3"/>
      <c r="D47" s="3"/>
    </row>
    <row r="48" spans="1:10" x14ac:dyDescent="0.2">
      <c r="A48" s="1"/>
      <c r="B48" s="3"/>
      <c r="C48" s="3"/>
      <c r="D48" s="3"/>
    </row>
    <row r="49" spans="1:4" x14ac:dyDescent="0.2">
      <c r="A49" s="1"/>
      <c r="B49" s="3"/>
      <c r="C49" s="3"/>
      <c r="D49" s="3"/>
    </row>
    <row r="50" spans="1:4" x14ac:dyDescent="0.2">
      <c r="A50" s="1"/>
      <c r="B50" s="3"/>
      <c r="C50" s="3"/>
      <c r="D50" s="3"/>
    </row>
    <row r="51" spans="1:4" x14ac:dyDescent="0.2">
      <c r="A51" s="1"/>
      <c r="B51" s="3"/>
      <c r="C51" s="3"/>
      <c r="D51" s="3"/>
    </row>
    <row r="52" spans="1:4" x14ac:dyDescent="0.2">
      <c r="A52" s="1"/>
      <c r="B52" s="3"/>
      <c r="C52" s="3"/>
      <c r="D52" s="3"/>
    </row>
    <row r="53" spans="1:4" x14ac:dyDescent="0.2">
      <c r="A53" s="1"/>
      <c r="B53" s="3"/>
      <c r="C53" s="3"/>
      <c r="D53" s="3"/>
    </row>
    <row r="54" spans="1:4" x14ac:dyDescent="0.2">
      <c r="A54" s="1"/>
      <c r="B54" s="3"/>
      <c r="C54" s="3"/>
      <c r="D54" s="3"/>
    </row>
  </sheetData>
  <autoFilter ref="I1:I22" xr:uid="{6DE63F17-480B-F342-B6FC-C6AC1C206056}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695D6-30FA-704D-B471-1E6730D30EA0}">
  <dimension ref="A1:B4"/>
  <sheetViews>
    <sheetView workbookViewId="0">
      <selection activeCell="B3" sqref="B3"/>
    </sheetView>
  </sheetViews>
  <sheetFormatPr baseColWidth="10" defaultRowHeight="16" x14ac:dyDescent="0.2"/>
  <cols>
    <col min="1" max="1" width="13" bestFit="1" customWidth="1"/>
    <col min="2" max="2" width="21.6640625" bestFit="1" customWidth="1"/>
  </cols>
  <sheetData>
    <row r="1" spans="1:2" x14ac:dyDescent="0.2">
      <c r="A1" s="6" t="s">
        <v>30</v>
      </c>
      <c r="B1" t="s">
        <v>34</v>
      </c>
    </row>
    <row r="2" spans="1:2" x14ac:dyDescent="0.2">
      <c r="A2" s="7" t="s">
        <v>31</v>
      </c>
      <c r="B2" s="8">
        <v>1</v>
      </c>
    </row>
    <row r="3" spans="1:2" x14ac:dyDescent="0.2">
      <c r="A3" s="7" t="s">
        <v>32</v>
      </c>
      <c r="B3" s="8">
        <v>1</v>
      </c>
    </row>
    <row r="4" spans="1:2" x14ac:dyDescent="0.2">
      <c r="A4" s="7" t="s">
        <v>33</v>
      </c>
      <c r="B4" s="8">
        <v>1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181F0-CD47-2D48-B0D8-E88102B2B749}">
  <dimension ref="A1:B4"/>
  <sheetViews>
    <sheetView workbookViewId="0">
      <selection activeCell="J22" sqref="J22"/>
    </sheetView>
  </sheetViews>
  <sheetFormatPr baseColWidth="10" defaultRowHeight="16" x14ac:dyDescent="0.2"/>
  <cols>
    <col min="1" max="1" width="13" bestFit="1" customWidth="1"/>
    <col min="2" max="2" width="19.5" bestFit="1" customWidth="1"/>
  </cols>
  <sheetData>
    <row r="1" spans="1:2" x14ac:dyDescent="0.2">
      <c r="A1" s="6" t="s">
        <v>30</v>
      </c>
      <c r="B1" t="s">
        <v>35</v>
      </c>
    </row>
    <row r="2" spans="1:2" x14ac:dyDescent="0.2">
      <c r="A2" s="7" t="s">
        <v>31</v>
      </c>
      <c r="B2" s="5">
        <v>0.83480007983335247</v>
      </c>
    </row>
    <row r="3" spans="1:2" x14ac:dyDescent="0.2">
      <c r="A3" s="7" t="s">
        <v>32</v>
      </c>
      <c r="B3" s="5">
        <v>0.82153662955556628</v>
      </c>
    </row>
    <row r="4" spans="1:2" x14ac:dyDescent="0.2">
      <c r="A4" s="7" t="s">
        <v>33</v>
      </c>
      <c r="B4" s="5">
        <v>0.82911574400001564</v>
      </c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Analysis</vt:lpstr>
      <vt:lpstr>PivotTable</vt:lpstr>
      <vt:lpstr>PivotTable2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Manas Tanavde</dc:creator>
  <cp:lastModifiedBy>Manas Tanavde</cp:lastModifiedBy>
  <dcterms:created xsi:type="dcterms:W3CDTF">2026-09-10T17:12:06Z</dcterms:created>
  <dcterms:modified xsi:type="dcterms:W3CDTF">2026-09-10T17:49:59Z</dcterms:modified>
</cp:coreProperties>
</file>