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tanavde/Downloads/PsychoPy/PSY310/Adaptive Staircase Procedure/"/>
    </mc:Choice>
  </mc:AlternateContent>
  <xr:revisionPtr revIDLastSave="0" documentId="8_{08077262-8B3A-AB4B-898E-C29CF628DF50}" xr6:coauthVersionLast="47" xr6:coauthVersionMax="47" xr10:uidLastSave="{00000000-0000-0000-0000-000000000000}"/>
  <bookViews>
    <workbookView xWindow="380" yWindow="500" windowWidth="28040" windowHeight="16440" xr2:uid="{DB75D34D-97E5-BE42-9A85-9AF474F7D85D}"/>
  </bookViews>
  <sheets>
    <sheet name="Dat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1" l="1"/>
  <c r="J5" i="1"/>
  <c r="J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<sst xmlns="http://schemas.openxmlformats.org/spreadsheetml/2006/main" count="112" uniqueCount="14">
  <si>
    <t>stair.thisTrialN</t>
  </si>
  <si>
    <t>stair.intensity</t>
  </si>
  <si>
    <t>corrAns</t>
  </si>
  <si>
    <t>tilt</t>
  </si>
  <si>
    <t>key_resp.corr</t>
  </si>
  <si>
    <t>right</t>
  </si>
  <si>
    <t>left</t>
  </si>
  <si>
    <t>key_resp.rt</t>
  </si>
  <si>
    <t>Reaction Time (ms)</t>
  </si>
  <si>
    <t>N (Correct)</t>
  </si>
  <si>
    <t>Mean RT</t>
  </si>
  <si>
    <t>Reversal Intensities (Modulus)</t>
  </si>
  <si>
    <t>Threshold</t>
  </si>
  <si>
    <t>N (Reversals)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</si>
</sst>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Response Trends over</a:t>
            </a:r>
            <a:r>
              <a:rPr lang="en-GB" baseline="0"/>
              <a:t> Trials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Data!$E$2:$E$101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9-3049-A809-2588D731C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3710784"/>
        <c:axId val="503848528"/>
      </c:lineChart>
      <c:catAx>
        <c:axId val="50371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848528"/>
        <c:crosses val="autoZero"/>
        <c:auto val="1"/>
        <c:lblAlgn val="ctr"/>
        <c:lblOffset val="100"/>
        <c:tickLblSkip val="10"/>
        <c:noMultiLvlLbl val="0"/>
      </c:catAx>
      <c:valAx>
        <c:axId val="5038485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Correct</a:t>
                </a:r>
                <a:r>
                  <a:rPr lang="en-GB" baseline="0"/>
                  <a:t> (1) vs. Incorrect (0)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710784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22</xdr:row>
      <xdr:rowOff>196850</xdr:rowOff>
    </xdr:from>
    <xdr:to>
      <xdr:col>16</xdr:col>
      <xdr:colOff>12700</xdr:colOff>
      <xdr:row>41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8F655-F9C4-C96E-C104-318E358C4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43D5-2E0B-F54A-B361-2B5187A76BBC}">
  <dimension ref="A1:J102"/>
  <sheetViews>
    <sheetView tabSelected="1" workbookViewId="0">
      <selection activeCell="P21" sqref="P21"/>
    </sheetView>
  </sheetViews>
  <sheetFormatPr baseColWidth="10" defaultRowHeight="16" x14ac:dyDescent="0.2"/>
  <cols>
    <col min="1" max="1" width="13.1640625" bestFit="1" customWidth="1"/>
    <col min="2" max="2" width="12.33203125" bestFit="1" customWidth="1"/>
    <col min="5" max="5" width="12.1640625" bestFit="1" customWidth="1"/>
    <col min="7" max="7" width="17.33203125" bestFit="1" customWidth="1"/>
    <col min="9" max="9" width="17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4" t="s">
        <v>8</v>
      </c>
    </row>
    <row r="2" spans="1:10" x14ac:dyDescent="0.2">
      <c r="A2" s="1">
        <v>0</v>
      </c>
      <c r="B2" s="3">
        <v>10</v>
      </c>
      <c r="C2" s="3" t="s">
        <v>5</v>
      </c>
      <c r="D2" s="3">
        <v>10</v>
      </c>
      <c r="E2" s="3">
        <v>1</v>
      </c>
      <c r="F2" s="3">
        <v>0.66630841700043697</v>
      </c>
      <c r="G2">
        <f>ROUND(F2*1000,2)</f>
        <v>666.31</v>
      </c>
    </row>
    <row r="3" spans="1:10" x14ac:dyDescent="0.2">
      <c r="A3" s="1">
        <v>1</v>
      </c>
      <c r="B3" s="3">
        <v>8</v>
      </c>
      <c r="C3" s="3" t="s">
        <v>5</v>
      </c>
      <c r="D3" s="3">
        <v>8</v>
      </c>
      <c r="E3" s="3">
        <v>1</v>
      </c>
      <c r="F3" s="3">
        <v>0.44150816599994902</v>
      </c>
      <c r="G3">
        <f t="shared" ref="G3:G66" si="0">ROUND(F3*1000,2)</f>
        <v>441.51</v>
      </c>
    </row>
    <row r="4" spans="1:10" x14ac:dyDescent="0.2">
      <c r="A4" s="1">
        <v>2</v>
      </c>
      <c r="B4" s="3">
        <v>6</v>
      </c>
      <c r="C4" s="3" t="s">
        <v>5</v>
      </c>
      <c r="D4" s="3">
        <v>6</v>
      </c>
      <c r="E4" s="3">
        <v>1</v>
      </c>
      <c r="F4" s="3">
        <v>0.52501583400044205</v>
      </c>
      <c r="G4">
        <f t="shared" si="0"/>
        <v>525.02</v>
      </c>
      <c r="I4" t="s">
        <v>9</v>
      </c>
      <c r="J4">
        <f>COUNTIF(E2:E101,1)</f>
        <v>89</v>
      </c>
    </row>
    <row r="5" spans="1:10" x14ac:dyDescent="0.2">
      <c r="A5" s="1">
        <v>3</v>
      </c>
      <c r="B5" s="3">
        <v>4</v>
      </c>
      <c r="C5" s="3" t="s">
        <v>5</v>
      </c>
      <c r="D5" s="3">
        <v>4</v>
      </c>
      <c r="E5" s="3">
        <v>1</v>
      </c>
      <c r="F5" s="3">
        <v>0.60302987500017502</v>
      </c>
      <c r="G5">
        <f t="shared" si="0"/>
        <v>603.03</v>
      </c>
      <c r="I5" t="s">
        <v>10</v>
      </c>
      <c r="J5">
        <f>AVERAGE(G2:G101)</f>
        <v>655.44009999999969</v>
      </c>
    </row>
    <row r="6" spans="1:10" x14ac:dyDescent="0.2">
      <c r="A6" s="1">
        <v>4</v>
      </c>
      <c r="B6" s="3">
        <v>2</v>
      </c>
      <c r="C6" s="3" t="s">
        <v>5</v>
      </c>
      <c r="D6" s="3">
        <v>2</v>
      </c>
      <c r="E6" s="3">
        <v>1</v>
      </c>
      <c r="F6" s="3">
        <v>0.91362183300043398</v>
      </c>
      <c r="G6">
        <f t="shared" si="0"/>
        <v>913.62</v>
      </c>
    </row>
    <row r="7" spans="1:10" x14ac:dyDescent="0.2">
      <c r="A7" s="1">
        <v>5</v>
      </c>
      <c r="B7" s="3">
        <v>1</v>
      </c>
      <c r="C7" s="3" t="s">
        <v>5</v>
      </c>
      <c r="D7" s="3">
        <v>1</v>
      </c>
      <c r="E7" s="3">
        <v>1</v>
      </c>
      <c r="F7" s="3">
        <v>0.69118054199952905</v>
      </c>
      <c r="G7">
        <f t="shared" si="0"/>
        <v>691.18</v>
      </c>
      <c r="I7" t="s">
        <v>11</v>
      </c>
    </row>
    <row r="8" spans="1:10" x14ac:dyDescent="0.2">
      <c r="A8" s="1">
        <v>6</v>
      </c>
      <c r="B8" s="3">
        <v>1</v>
      </c>
      <c r="C8" s="3" t="s">
        <v>6</v>
      </c>
      <c r="D8" s="3">
        <v>-1</v>
      </c>
      <c r="E8" s="3">
        <v>1</v>
      </c>
      <c r="F8" s="3">
        <v>0.58487820800019097</v>
      </c>
      <c r="G8">
        <f t="shared" si="0"/>
        <v>584.88</v>
      </c>
      <c r="I8" s="3">
        <v>1</v>
      </c>
    </row>
    <row r="9" spans="1:10" x14ac:dyDescent="0.2">
      <c r="A9" s="1">
        <v>7</v>
      </c>
      <c r="B9" s="3">
        <v>1</v>
      </c>
      <c r="C9" s="3" t="s">
        <v>6</v>
      </c>
      <c r="D9" s="3">
        <v>-1</v>
      </c>
      <c r="E9" s="3">
        <v>0</v>
      </c>
      <c r="F9" s="3">
        <v>0.82842779200018402</v>
      </c>
      <c r="G9">
        <f t="shared" si="0"/>
        <v>828.43</v>
      </c>
      <c r="I9" s="3">
        <v>3</v>
      </c>
    </row>
    <row r="10" spans="1:10" x14ac:dyDescent="0.2">
      <c r="A10" s="1">
        <v>8</v>
      </c>
      <c r="B10" s="3">
        <v>3</v>
      </c>
      <c r="C10" s="3" t="s">
        <v>5</v>
      </c>
      <c r="D10" s="3">
        <v>3</v>
      </c>
      <c r="E10" s="3">
        <v>1</v>
      </c>
      <c r="F10" s="3">
        <v>0.74566666600003395</v>
      </c>
      <c r="G10">
        <f t="shared" si="0"/>
        <v>745.67</v>
      </c>
      <c r="I10" s="3">
        <v>1</v>
      </c>
    </row>
    <row r="11" spans="1:10" x14ac:dyDescent="0.2">
      <c r="A11" s="1">
        <v>9</v>
      </c>
      <c r="B11" s="3">
        <v>3</v>
      </c>
      <c r="C11" s="3" t="s">
        <v>5</v>
      </c>
      <c r="D11" s="3">
        <v>3</v>
      </c>
      <c r="E11" s="3">
        <v>1</v>
      </c>
      <c r="F11" s="3">
        <v>0.84462708299997802</v>
      </c>
      <c r="G11">
        <f t="shared" si="0"/>
        <v>844.63</v>
      </c>
      <c r="I11" s="3">
        <v>1</v>
      </c>
    </row>
    <row r="12" spans="1:10" x14ac:dyDescent="0.2">
      <c r="A12" s="1">
        <v>10</v>
      </c>
      <c r="B12" s="3">
        <v>3</v>
      </c>
      <c r="C12" s="3" t="s">
        <v>6</v>
      </c>
      <c r="D12" s="3">
        <v>-3</v>
      </c>
      <c r="E12" s="3">
        <v>1</v>
      </c>
      <c r="F12" s="3">
        <v>0.59605154099972402</v>
      </c>
      <c r="G12">
        <f t="shared" si="0"/>
        <v>596.04999999999995</v>
      </c>
      <c r="I12" s="3">
        <v>1</v>
      </c>
    </row>
    <row r="13" spans="1:10" x14ac:dyDescent="0.2">
      <c r="A13" s="1">
        <v>11</v>
      </c>
      <c r="B13" s="3">
        <v>1</v>
      </c>
      <c r="C13" s="3" t="s">
        <v>6</v>
      </c>
      <c r="D13" s="3">
        <v>-1</v>
      </c>
      <c r="E13" s="3">
        <v>0</v>
      </c>
      <c r="F13" s="3">
        <v>0.68610862500008796</v>
      </c>
      <c r="G13">
        <f t="shared" si="0"/>
        <v>686.11</v>
      </c>
      <c r="I13" s="3">
        <v>3</v>
      </c>
    </row>
    <row r="14" spans="1:10" x14ac:dyDescent="0.2">
      <c r="A14" s="1">
        <v>12</v>
      </c>
      <c r="B14" s="3">
        <v>3</v>
      </c>
      <c r="C14" s="3" t="s">
        <v>5</v>
      </c>
      <c r="D14" s="3">
        <v>3</v>
      </c>
      <c r="E14" s="3">
        <v>1</v>
      </c>
      <c r="F14" s="3">
        <v>0.61389966699971399</v>
      </c>
      <c r="G14">
        <f t="shared" si="0"/>
        <v>613.9</v>
      </c>
      <c r="I14" s="3">
        <v>1</v>
      </c>
    </row>
    <row r="15" spans="1:10" x14ac:dyDescent="0.2">
      <c r="A15" s="1">
        <v>13</v>
      </c>
      <c r="B15" s="3">
        <v>3</v>
      </c>
      <c r="C15" s="3" t="s">
        <v>6</v>
      </c>
      <c r="D15" s="3">
        <v>-3</v>
      </c>
      <c r="E15" s="3">
        <v>1</v>
      </c>
      <c r="F15" s="3">
        <v>0.62469337499987898</v>
      </c>
      <c r="G15">
        <f t="shared" si="0"/>
        <v>624.69000000000005</v>
      </c>
      <c r="I15" s="3">
        <v>1</v>
      </c>
    </row>
    <row r="16" spans="1:10" x14ac:dyDescent="0.2">
      <c r="A16" s="1">
        <v>14</v>
      </c>
      <c r="B16" s="3">
        <v>3</v>
      </c>
      <c r="C16" s="3" t="s">
        <v>6</v>
      </c>
      <c r="D16" s="3">
        <v>-3</v>
      </c>
      <c r="E16" s="3">
        <v>1</v>
      </c>
      <c r="F16" s="3">
        <v>0.61979104100009896</v>
      </c>
      <c r="G16">
        <f t="shared" si="0"/>
        <v>619.79</v>
      </c>
      <c r="I16" s="3">
        <v>1</v>
      </c>
    </row>
    <row r="17" spans="1:10" x14ac:dyDescent="0.2">
      <c r="A17" s="1">
        <v>15</v>
      </c>
      <c r="B17" s="3">
        <v>1</v>
      </c>
      <c r="C17" s="3" t="s">
        <v>5</v>
      </c>
      <c r="D17" s="3">
        <v>1</v>
      </c>
      <c r="E17" s="3">
        <v>1</v>
      </c>
      <c r="F17" s="3">
        <v>0.64535979199990801</v>
      </c>
      <c r="G17">
        <f t="shared" si="0"/>
        <v>645.36</v>
      </c>
      <c r="I17" s="3">
        <v>1</v>
      </c>
    </row>
    <row r="18" spans="1:10" x14ac:dyDescent="0.2">
      <c r="A18" s="1">
        <v>16</v>
      </c>
      <c r="B18" s="3">
        <v>1</v>
      </c>
      <c r="C18" s="3" t="s">
        <v>5</v>
      </c>
      <c r="D18" s="3">
        <v>1</v>
      </c>
      <c r="E18" s="3">
        <v>1</v>
      </c>
      <c r="F18" s="3">
        <v>0.57373541700053499</v>
      </c>
      <c r="G18">
        <f t="shared" si="0"/>
        <v>573.74</v>
      </c>
      <c r="I18" s="3">
        <v>1</v>
      </c>
    </row>
    <row r="19" spans="1:10" x14ac:dyDescent="0.2">
      <c r="A19" s="1">
        <v>17</v>
      </c>
      <c r="B19" s="3">
        <v>1</v>
      </c>
      <c r="C19" s="3" t="s">
        <v>6</v>
      </c>
      <c r="D19" s="3">
        <v>-1</v>
      </c>
      <c r="E19" s="3">
        <v>1</v>
      </c>
      <c r="F19" s="3">
        <v>0.60137145799944902</v>
      </c>
      <c r="G19">
        <f t="shared" si="0"/>
        <v>601.37</v>
      </c>
    </row>
    <row r="20" spans="1:10" x14ac:dyDescent="0.2">
      <c r="A20" s="1">
        <v>18</v>
      </c>
      <c r="B20" s="3">
        <v>1</v>
      </c>
      <c r="C20" s="3" t="s">
        <v>5</v>
      </c>
      <c r="D20" s="3">
        <v>1</v>
      </c>
      <c r="E20" s="3">
        <v>1</v>
      </c>
      <c r="F20" s="3">
        <v>0.82321970900011399</v>
      </c>
      <c r="G20">
        <f t="shared" si="0"/>
        <v>823.22</v>
      </c>
      <c r="I20" t="s">
        <v>13</v>
      </c>
      <c r="J20">
        <v>11</v>
      </c>
    </row>
    <row r="21" spans="1:10" x14ac:dyDescent="0.2">
      <c r="A21" s="1">
        <v>19</v>
      </c>
      <c r="B21" s="3">
        <v>1</v>
      </c>
      <c r="C21" s="3" t="s">
        <v>5</v>
      </c>
      <c r="D21" s="3">
        <v>1</v>
      </c>
      <c r="E21" s="3">
        <v>1</v>
      </c>
      <c r="F21" s="3">
        <v>0.66813958299917398</v>
      </c>
      <c r="G21">
        <f t="shared" si="0"/>
        <v>668.14</v>
      </c>
      <c r="I21" t="s">
        <v>12</v>
      </c>
      <c r="J21">
        <f>(SUM(I8:I18)/J20)</f>
        <v>1.3636363636363635</v>
      </c>
    </row>
    <row r="22" spans="1:10" x14ac:dyDescent="0.2">
      <c r="A22" s="1">
        <v>20</v>
      </c>
      <c r="B22" s="3">
        <v>1</v>
      </c>
      <c r="C22" s="3" t="s">
        <v>5</v>
      </c>
      <c r="D22" s="3">
        <v>1</v>
      </c>
      <c r="E22" s="3">
        <v>1</v>
      </c>
      <c r="F22" s="3">
        <v>0.72939812499953405</v>
      </c>
      <c r="G22">
        <f t="shared" si="0"/>
        <v>729.4</v>
      </c>
    </row>
    <row r="23" spans="1:10" x14ac:dyDescent="0.2">
      <c r="A23" s="1">
        <v>21</v>
      </c>
      <c r="B23" s="3">
        <v>1</v>
      </c>
      <c r="C23" s="3" t="s">
        <v>6</v>
      </c>
      <c r="D23" s="3">
        <v>-1</v>
      </c>
      <c r="E23" s="3">
        <v>0</v>
      </c>
      <c r="F23" s="3">
        <v>0.69566104200021095</v>
      </c>
      <c r="G23">
        <f t="shared" si="0"/>
        <v>695.66</v>
      </c>
    </row>
    <row r="24" spans="1:10" x14ac:dyDescent="0.2">
      <c r="A24" s="1">
        <v>22</v>
      </c>
      <c r="B24" s="3">
        <v>3</v>
      </c>
      <c r="C24" s="3" t="s">
        <v>6</v>
      </c>
      <c r="D24" s="3">
        <v>-3</v>
      </c>
      <c r="E24" s="3">
        <v>1</v>
      </c>
      <c r="F24" s="3">
        <v>0.699178667000524</v>
      </c>
      <c r="G24">
        <f t="shared" si="0"/>
        <v>699.18</v>
      </c>
    </row>
    <row r="25" spans="1:10" x14ac:dyDescent="0.2">
      <c r="A25" s="1">
        <v>23</v>
      </c>
      <c r="B25" s="3">
        <v>3</v>
      </c>
      <c r="C25" s="3" t="s">
        <v>6</v>
      </c>
      <c r="D25" s="3">
        <v>-3</v>
      </c>
      <c r="E25" s="3">
        <v>1</v>
      </c>
      <c r="F25" s="3">
        <v>0.69492654200075799</v>
      </c>
      <c r="G25">
        <f t="shared" si="0"/>
        <v>694.93</v>
      </c>
    </row>
    <row r="26" spans="1:10" x14ac:dyDescent="0.2">
      <c r="A26" s="1">
        <v>24</v>
      </c>
      <c r="B26" s="3">
        <v>3</v>
      </c>
      <c r="C26" s="3" t="s">
        <v>5</v>
      </c>
      <c r="D26" s="3">
        <v>3</v>
      </c>
      <c r="E26" s="3">
        <v>1</v>
      </c>
      <c r="F26" s="3">
        <v>0.65499804199953404</v>
      </c>
      <c r="G26">
        <f t="shared" si="0"/>
        <v>655</v>
      </c>
    </row>
    <row r="27" spans="1:10" x14ac:dyDescent="0.2">
      <c r="A27" s="1">
        <v>25</v>
      </c>
      <c r="B27" s="3">
        <v>1</v>
      </c>
      <c r="C27" s="3" t="s">
        <v>6</v>
      </c>
      <c r="D27" s="3">
        <v>-1</v>
      </c>
      <c r="E27" s="3">
        <v>1</v>
      </c>
      <c r="F27" s="3">
        <v>0.57453937500031305</v>
      </c>
      <c r="G27">
        <f t="shared" si="0"/>
        <v>574.54</v>
      </c>
    </row>
    <row r="28" spans="1:10" x14ac:dyDescent="0.2">
      <c r="A28" s="1">
        <v>26</v>
      </c>
      <c r="B28" s="3">
        <v>1</v>
      </c>
      <c r="C28" s="3" t="s">
        <v>5</v>
      </c>
      <c r="D28" s="3">
        <v>1</v>
      </c>
      <c r="E28" s="3">
        <v>1</v>
      </c>
      <c r="F28" s="3">
        <v>0.60203320799973903</v>
      </c>
      <c r="G28">
        <f t="shared" si="0"/>
        <v>602.03</v>
      </c>
    </row>
    <row r="29" spans="1:10" x14ac:dyDescent="0.2">
      <c r="A29" s="1">
        <v>27</v>
      </c>
      <c r="B29" s="3">
        <v>1</v>
      </c>
      <c r="C29" s="3" t="s">
        <v>6</v>
      </c>
      <c r="D29" s="3">
        <v>-1</v>
      </c>
      <c r="E29" s="3">
        <v>1</v>
      </c>
      <c r="F29" s="3">
        <v>0.59056070799942995</v>
      </c>
      <c r="G29">
        <f t="shared" si="0"/>
        <v>590.55999999999995</v>
      </c>
    </row>
    <row r="30" spans="1:10" x14ac:dyDescent="0.2">
      <c r="A30" s="1">
        <v>28</v>
      </c>
      <c r="B30" s="3">
        <v>1</v>
      </c>
      <c r="C30" s="3" t="s">
        <v>6</v>
      </c>
      <c r="D30" s="3">
        <v>-1</v>
      </c>
      <c r="E30" s="3">
        <v>0</v>
      </c>
      <c r="F30" s="3">
        <v>0.948292790999403</v>
      </c>
      <c r="G30">
        <f t="shared" si="0"/>
        <v>948.29</v>
      </c>
    </row>
    <row r="31" spans="1:10" x14ac:dyDescent="0.2">
      <c r="A31" s="1">
        <v>29</v>
      </c>
      <c r="B31" s="3">
        <v>3</v>
      </c>
      <c r="C31" s="3" t="s">
        <v>5</v>
      </c>
      <c r="D31" s="3">
        <v>3</v>
      </c>
      <c r="E31" s="3">
        <v>1</v>
      </c>
      <c r="F31" s="3">
        <v>0.84645783399992103</v>
      </c>
      <c r="G31">
        <f t="shared" si="0"/>
        <v>846.46</v>
      </c>
    </row>
    <row r="32" spans="1:10" x14ac:dyDescent="0.2">
      <c r="A32" s="1">
        <v>30</v>
      </c>
      <c r="B32" s="3">
        <v>3</v>
      </c>
      <c r="C32" s="3" t="s">
        <v>6</v>
      </c>
      <c r="D32" s="3">
        <v>-3</v>
      </c>
      <c r="E32" s="3">
        <v>1</v>
      </c>
      <c r="F32" s="3">
        <v>0.78841691599973296</v>
      </c>
      <c r="G32">
        <f t="shared" si="0"/>
        <v>788.42</v>
      </c>
    </row>
    <row r="33" spans="1:7" x14ac:dyDescent="0.2">
      <c r="A33" s="1">
        <v>31</v>
      </c>
      <c r="B33" s="3">
        <v>3</v>
      </c>
      <c r="C33" s="3" t="s">
        <v>6</v>
      </c>
      <c r="D33" s="3">
        <v>-3</v>
      </c>
      <c r="E33" s="3">
        <v>1</v>
      </c>
      <c r="F33" s="3">
        <v>0.69793800000024897</v>
      </c>
      <c r="G33">
        <f t="shared" si="0"/>
        <v>697.94</v>
      </c>
    </row>
    <row r="34" spans="1:7" x14ac:dyDescent="0.2">
      <c r="A34" s="1">
        <v>32</v>
      </c>
      <c r="B34" s="3">
        <v>1</v>
      </c>
      <c r="C34" s="3" t="s">
        <v>6</v>
      </c>
      <c r="D34" s="3">
        <v>-1</v>
      </c>
      <c r="E34" s="3">
        <v>1</v>
      </c>
      <c r="F34" s="3">
        <v>0.80700591599997995</v>
      </c>
      <c r="G34">
        <f t="shared" si="0"/>
        <v>807.01</v>
      </c>
    </row>
    <row r="35" spans="1:7" x14ac:dyDescent="0.2">
      <c r="A35" s="1">
        <v>33</v>
      </c>
      <c r="B35" s="3">
        <v>1</v>
      </c>
      <c r="C35" s="3" t="s">
        <v>6</v>
      </c>
      <c r="D35" s="3">
        <v>-1</v>
      </c>
      <c r="E35" s="3">
        <v>1</v>
      </c>
      <c r="F35" s="3">
        <v>0.74088550000033104</v>
      </c>
      <c r="G35">
        <f t="shared" si="0"/>
        <v>740.89</v>
      </c>
    </row>
    <row r="36" spans="1:7" x14ac:dyDescent="0.2">
      <c r="A36" s="1">
        <v>34</v>
      </c>
      <c r="B36" s="3">
        <v>1</v>
      </c>
      <c r="C36" s="3" t="s">
        <v>6</v>
      </c>
      <c r="D36" s="3">
        <v>-1</v>
      </c>
      <c r="E36" s="3">
        <v>1</v>
      </c>
      <c r="F36" s="3">
        <v>0.790836790999492</v>
      </c>
      <c r="G36">
        <f t="shared" si="0"/>
        <v>790.84</v>
      </c>
    </row>
    <row r="37" spans="1:7" x14ac:dyDescent="0.2">
      <c r="A37" s="1">
        <v>35</v>
      </c>
      <c r="B37" s="3">
        <v>1</v>
      </c>
      <c r="C37" s="3" t="s">
        <v>5</v>
      </c>
      <c r="D37" s="3">
        <v>1</v>
      </c>
      <c r="E37" s="3">
        <v>1</v>
      </c>
      <c r="F37" s="3">
        <v>0.69460283399985201</v>
      </c>
      <c r="G37">
        <f t="shared" si="0"/>
        <v>694.6</v>
      </c>
    </row>
    <row r="38" spans="1:7" x14ac:dyDescent="0.2">
      <c r="A38" s="1">
        <v>36</v>
      </c>
      <c r="B38" s="3">
        <v>1</v>
      </c>
      <c r="C38" s="3" t="s">
        <v>6</v>
      </c>
      <c r="D38" s="3">
        <v>-1</v>
      </c>
      <c r="E38" s="3">
        <v>1</v>
      </c>
      <c r="F38" s="3">
        <v>1.20216133399936</v>
      </c>
      <c r="G38">
        <f t="shared" si="0"/>
        <v>1202.1600000000001</v>
      </c>
    </row>
    <row r="39" spans="1:7" x14ac:dyDescent="0.2">
      <c r="A39" s="1">
        <v>37</v>
      </c>
      <c r="B39" s="3">
        <v>1</v>
      </c>
      <c r="C39" s="3" t="s">
        <v>6</v>
      </c>
      <c r="D39" s="3">
        <v>-1</v>
      </c>
      <c r="E39" s="3">
        <v>1</v>
      </c>
      <c r="F39" s="3">
        <v>0.661323875000562</v>
      </c>
      <c r="G39">
        <f t="shared" si="0"/>
        <v>661.32</v>
      </c>
    </row>
    <row r="40" spans="1:7" x14ac:dyDescent="0.2">
      <c r="A40" s="1">
        <v>38</v>
      </c>
      <c r="B40" s="3">
        <v>1</v>
      </c>
      <c r="C40" s="3" t="s">
        <v>6</v>
      </c>
      <c r="D40" s="3">
        <v>-1</v>
      </c>
      <c r="E40" s="3">
        <v>1</v>
      </c>
      <c r="F40" s="3">
        <v>1.03376754199962</v>
      </c>
      <c r="G40">
        <f t="shared" si="0"/>
        <v>1033.77</v>
      </c>
    </row>
    <row r="41" spans="1:7" x14ac:dyDescent="0.2">
      <c r="A41" s="1">
        <v>39</v>
      </c>
      <c r="B41" s="3">
        <v>1</v>
      </c>
      <c r="C41" s="3" t="s">
        <v>5</v>
      </c>
      <c r="D41" s="3">
        <v>1</v>
      </c>
      <c r="E41" s="3">
        <v>1</v>
      </c>
      <c r="F41" s="3">
        <v>0.63312429100005796</v>
      </c>
      <c r="G41">
        <f t="shared" si="0"/>
        <v>633.12</v>
      </c>
    </row>
    <row r="42" spans="1:7" x14ac:dyDescent="0.2">
      <c r="A42" s="1">
        <v>40</v>
      </c>
      <c r="B42" s="3">
        <v>1</v>
      </c>
      <c r="C42" s="3" t="s">
        <v>6</v>
      </c>
      <c r="D42" s="3">
        <v>-1</v>
      </c>
      <c r="E42" s="3">
        <v>1</v>
      </c>
      <c r="F42" s="3">
        <v>0.68541016699964497</v>
      </c>
      <c r="G42">
        <f t="shared" si="0"/>
        <v>685.41</v>
      </c>
    </row>
    <row r="43" spans="1:7" x14ac:dyDescent="0.2">
      <c r="A43" s="1">
        <v>41</v>
      </c>
      <c r="B43" s="3">
        <v>1</v>
      </c>
      <c r="C43" s="3" t="s">
        <v>6</v>
      </c>
      <c r="D43" s="3">
        <v>-1</v>
      </c>
      <c r="E43" s="3">
        <v>0</v>
      </c>
      <c r="F43" s="3">
        <v>0.43993337499978202</v>
      </c>
      <c r="G43">
        <f t="shared" si="0"/>
        <v>439.93</v>
      </c>
    </row>
    <row r="44" spans="1:7" x14ac:dyDescent="0.2">
      <c r="A44" s="1">
        <v>42</v>
      </c>
      <c r="B44" s="3">
        <v>3</v>
      </c>
      <c r="C44" s="3" t="s">
        <v>5</v>
      </c>
      <c r="D44" s="3">
        <v>3</v>
      </c>
      <c r="E44" s="3">
        <v>0</v>
      </c>
      <c r="F44" s="3">
        <v>0.47339729200030001</v>
      </c>
      <c r="G44">
        <f t="shared" si="0"/>
        <v>473.4</v>
      </c>
    </row>
    <row r="45" spans="1:7" x14ac:dyDescent="0.2">
      <c r="A45" s="1">
        <v>43</v>
      </c>
      <c r="B45" s="3">
        <v>5</v>
      </c>
      <c r="C45" s="3" t="s">
        <v>5</v>
      </c>
      <c r="D45" s="3">
        <v>5</v>
      </c>
      <c r="E45" s="3">
        <v>1</v>
      </c>
      <c r="F45" s="3">
        <v>0.69078495900066605</v>
      </c>
      <c r="G45">
        <f t="shared" si="0"/>
        <v>690.78</v>
      </c>
    </row>
    <row r="46" spans="1:7" x14ac:dyDescent="0.2">
      <c r="A46" s="1">
        <v>44</v>
      </c>
      <c r="B46" s="3">
        <v>5</v>
      </c>
      <c r="C46" s="3" t="s">
        <v>6</v>
      </c>
      <c r="D46" s="3">
        <v>-5</v>
      </c>
      <c r="E46" s="3">
        <v>1</v>
      </c>
      <c r="F46" s="3">
        <v>0.66777466600069602</v>
      </c>
      <c r="G46">
        <f t="shared" si="0"/>
        <v>667.77</v>
      </c>
    </row>
    <row r="47" spans="1:7" x14ac:dyDescent="0.2">
      <c r="A47" s="1">
        <v>45</v>
      </c>
      <c r="B47" s="3">
        <v>5</v>
      </c>
      <c r="C47" s="3" t="s">
        <v>5</v>
      </c>
      <c r="D47" s="3">
        <v>5</v>
      </c>
      <c r="E47" s="3">
        <v>1</v>
      </c>
      <c r="F47" s="3">
        <v>0.53465612499985604</v>
      </c>
      <c r="G47">
        <f t="shared" si="0"/>
        <v>534.66</v>
      </c>
    </row>
    <row r="48" spans="1:7" x14ac:dyDescent="0.2">
      <c r="A48" s="1">
        <v>46</v>
      </c>
      <c r="B48" s="3">
        <v>3</v>
      </c>
      <c r="C48" s="3" t="s">
        <v>5</v>
      </c>
      <c r="D48" s="3">
        <v>3</v>
      </c>
      <c r="E48" s="3">
        <v>1</v>
      </c>
      <c r="F48" s="3">
        <v>0.63537545800045303</v>
      </c>
      <c r="G48">
        <f t="shared" si="0"/>
        <v>635.38</v>
      </c>
    </row>
    <row r="49" spans="1:7" x14ac:dyDescent="0.2">
      <c r="A49" s="1">
        <v>47</v>
      </c>
      <c r="B49" s="3">
        <v>3</v>
      </c>
      <c r="C49" s="3" t="s">
        <v>5</v>
      </c>
      <c r="D49" s="3">
        <v>3</v>
      </c>
      <c r="E49" s="3">
        <v>1</v>
      </c>
      <c r="F49" s="3">
        <v>0.61126570800024604</v>
      </c>
      <c r="G49">
        <f t="shared" si="0"/>
        <v>611.27</v>
      </c>
    </row>
    <row r="50" spans="1:7" x14ac:dyDescent="0.2">
      <c r="A50" s="1">
        <v>48</v>
      </c>
      <c r="B50" s="3">
        <v>3</v>
      </c>
      <c r="C50" s="3" t="s">
        <v>6</v>
      </c>
      <c r="D50" s="3">
        <v>-3</v>
      </c>
      <c r="E50" s="3">
        <v>1</v>
      </c>
      <c r="F50" s="3">
        <v>0.56727470799978597</v>
      </c>
      <c r="G50">
        <f t="shared" si="0"/>
        <v>567.27</v>
      </c>
    </row>
    <row r="51" spans="1:7" x14ac:dyDescent="0.2">
      <c r="A51" s="1">
        <v>49</v>
      </c>
      <c r="B51" s="3">
        <v>1</v>
      </c>
      <c r="C51" s="3" t="s">
        <v>5</v>
      </c>
      <c r="D51" s="3">
        <v>1</v>
      </c>
      <c r="E51" s="3">
        <v>1</v>
      </c>
      <c r="F51" s="3">
        <v>0.49663162500019098</v>
      </c>
      <c r="G51">
        <f t="shared" si="0"/>
        <v>496.63</v>
      </c>
    </row>
    <row r="52" spans="1:7" x14ac:dyDescent="0.2">
      <c r="A52" s="1">
        <v>50</v>
      </c>
      <c r="B52" s="3">
        <v>1</v>
      </c>
      <c r="C52" s="3" t="s">
        <v>6</v>
      </c>
      <c r="D52" s="3">
        <v>-1</v>
      </c>
      <c r="E52" s="3">
        <v>1</v>
      </c>
      <c r="F52" s="3">
        <v>0.76159141700009103</v>
      </c>
      <c r="G52">
        <f t="shared" si="0"/>
        <v>761.59</v>
      </c>
    </row>
    <row r="53" spans="1:7" x14ac:dyDescent="0.2">
      <c r="A53" s="1">
        <v>51</v>
      </c>
      <c r="B53" s="3">
        <v>1</v>
      </c>
      <c r="C53" s="3" t="s">
        <v>5</v>
      </c>
      <c r="D53" s="3">
        <v>1</v>
      </c>
      <c r="E53" s="3">
        <v>1</v>
      </c>
      <c r="F53" s="3">
        <v>0.58418350000010799</v>
      </c>
      <c r="G53">
        <f t="shared" si="0"/>
        <v>584.17999999999995</v>
      </c>
    </row>
    <row r="54" spans="1:7" x14ac:dyDescent="0.2">
      <c r="A54" s="1">
        <v>52</v>
      </c>
      <c r="B54" s="3">
        <v>1</v>
      </c>
      <c r="C54" s="3" t="s">
        <v>5</v>
      </c>
      <c r="D54" s="3">
        <v>1</v>
      </c>
      <c r="E54" s="3">
        <v>1</v>
      </c>
      <c r="F54" s="3">
        <v>1.16941691700049</v>
      </c>
      <c r="G54">
        <f t="shared" si="0"/>
        <v>1169.42</v>
      </c>
    </row>
    <row r="55" spans="1:7" x14ac:dyDescent="0.2">
      <c r="A55" s="1">
        <v>53</v>
      </c>
      <c r="B55" s="3">
        <v>1</v>
      </c>
      <c r="C55" s="3" t="s">
        <v>5</v>
      </c>
      <c r="D55" s="3">
        <v>1</v>
      </c>
      <c r="E55" s="3">
        <v>1</v>
      </c>
      <c r="F55" s="3">
        <v>1.44979208399946</v>
      </c>
      <c r="G55">
        <f t="shared" si="0"/>
        <v>1449.79</v>
      </c>
    </row>
    <row r="56" spans="1:7" x14ac:dyDescent="0.2">
      <c r="A56" s="1">
        <v>54</v>
      </c>
      <c r="B56" s="3">
        <v>1</v>
      </c>
      <c r="C56" s="3" t="s">
        <v>6</v>
      </c>
      <c r="D56" s="3">
        <v>-1</v>
      </c>
      <c r="E56" s="3">
        <v>1</v>
      </c>
      <c r="F56" s="3">
        <v>0.62452391599981605</v>
      </c>
      <c r="G56">
        <f t="shared" si="0"/>
        <v>624.52</v>
      </c>
    </row>
    <row r="57" spans="1:7" x14ac:dyDescent="0.2">
      <c r="A57" s="1">
        <v>55</v>
      </c>
      <c r="B57" s="3">
        <v>1</v>
      </c>
      <c r="C57" s="3" t="s">
        <v>5</v>
      </c>
      <c r="D57" s="3">
        <v>1</v>
      </c>
      <c r="E57" s="3">
        <v>1</v>
      </c>
      <c r="F57" s="3">
        <v>0.57174712500000202</v>
      </c>
      <c r="G57">
        <f t="shared" si="0"/>
        <v>571.75</v>
      </c>
    </row>
    <row r="58" spans="1:7" x14ac:dyDescent="0.2">
      <c r="A58" s="1">
        <v>56</v>
      </c>
      <c r="B58" s="3">
        <v>1</v>
      </c>
      <c r="C58" s="3" t="s">
        <v>5</v>
      </c>
      <c r="D58" s="3">
        <v>1</v>
      </c>
      <c r="E58" s="3">
        <v>0</v>
      </c>
      <c r="F58" s="3">
        <v>0.60614208300012296</v>
      </c>
      <c r="G58">
        <f t="shared" si="0"/>
        <v>606.14</v>
      </c>
    </row>
    <row r="59" spans="1:7" x14ac:dyDescent="0.2">
      <c r="A59" s="1">
        <v>57</v>
      </c>
      <c r="B59" s="3">
        <v>3</v>
      </c>
      <c r="C59" s="3" t="s">
        <v>6</v>
      </c>
      <c r="D59" s="3">
        <v>-3</v>
      </c>
      <c r="E59" s="3">
        <v>1</v>
      </c>
      <c r="F59" s="3">
        <v>0.61958550000054002</v>
      </c>
      <c r="G59">
        <f t="shared" si="0"/>
        <v>619.59</v>
      </c>
    </row>
    <row r="60" spans="1:7" x14ac:dyDescent="0.2">
      <c r="A60" s="1">
        <v>58</v>
      </c>
      <c r="B60" s="3">
        <v>3</v>
      </c>
      <c r="C60" s="3" t="s">
        <v>6</v>
      </c>
      <c r="D60" s="3">
        <v>-3</v>
      </c>
      <c r="E60" s="3">
        <v>1</v>
      </c>
      <c r="F60" s="3">
        <v>0.51282566700047005</v>
      </c>
      <c r="G60">
        <f t="shared" si="0"/>
        <v>512.83000000000004</v>
      </c>
    </row>
    <row r="61" spans="1:7" x14ac:dyDescent="0.2">
      <c r="A61" s="1">
        <v>59</v>
      </c>
      <c r="B61" s="3">
        <v>3</v>
      </c>
      <c r="C61" s="3" t="s">
        <v>6</v>
      </c>
      <c r="D61" s="3">
        <v>-3</v>
      </c>
      <c r="E61" s="3">
        <v>1</v>
      </c>
      <c r="F61" s="3">
        <v>0.55627112500042097</v>
      </c>
      <c r="G61">
        <f t="shared" si="0"/>
        <v>556.27</v>
      </c>
    </row>
    <row r="62" spans="1:7" x14ac:dyDescent="0.2">
      <c r="A62" s="1">
        <v>60</v>
      </c>
      <c r="B62" s="3">
        <v>1</v>
      </c>
      <c r="C62" s="3" t="s">
        <v>5</v>
      </c>
      <c r="D62" s="3">
        <v>1</v>
      </c>
      <c r="E62" s="3">
        <v>1</v>
      </c>
      <c r="F62" s="3">
        <v>0.53013404100056505</v>
      </c>
      <c r="G62">
        <f t="shared" si="0"/>
        <v>530.13</v>
      </c>
    </row>
    <row r="63" spans="1:7" x14ac:dyDescent="0.2">
      <c r="A63" s="1">
        <v>61</v>
      </c>
      <c r="B63" s="3">
        <v>1</v>
      </c>
      <c r="C63" s="3" t="s">
        <v>5</v>
      </c>
      <c r="D63" s="3">
        <v>1</v>
      </c>
      <c r="E63" s="3">
        <v>1</v>
      </c>
      <c r="F63" s="3">
        <v>0.77140579099977902</v>
      </c>
      <c r="G63">
        <f t="shared" si="0"/>
        <v>771.41</v>
      </c>
    </row>
    <row r="64" spans="1:7" x14ac:dyDescent="0.2">
      <c r="A64" s="1">
        <v>62</v>
      </c>
      <c r="B64" s="3">
        <v>1</v>
      </c>
      <c r="C64" s="3" t="s">
        <v>5</v>
      </c>
      <c r="D64" s="3">
        <v>1</v>
      </c>
      <c r="E64" s="3">
        <v>1</v>
      </c>
      <c r="F64" s="3">
        <v>0.545679374999963</v>
      </c>
      <c r="G64">
        <f t="shared" si="0"/>
        <v>545.67999999999995</v>
      </c>
    </row>
    <row r="65" spans="1:7" x14ac:dyDescent="0.2">
      <c r="A65" s="1">
        <v>63</v>
      </c>
      <c r="B65" s="3">
        <v>1</v>
      </c>
      <c r="C65" s="3" t="s">
        <v>6</v>
      </c>
      <c r="D65" s="3">
        <v>-1</v>
      </c>
      <c r="E65" s="3">
        <v>1</v>
      </c>
      <c r="F65" s="3">
        <v>0.56724437499997304</v>
      </c>
      <c r="G65">
        <f t="shared" si="0"/>
        <v>567.24</v>
      </c>
    </row>
    <row r="66" spans="1:7" x14ac:dyDescent="0.2">
      <c r="A66" s="1">
        <v>64</v>
      </c>
      <c r="B66" s="3">
        <v>1</v>
      </c>
      <c r="C66" s="3" t="s">
        <v>5</v>
      </c>
      <c r="D66" s="3">
        <v>1</v>
      </c>
      <c r="E66" s="3">
        <v>1</v>
      </c>
      <c r="F66" s="3">
        <v>0.59074958400014999</v>
      </c>
      <c r="G66">
        <f t="shared" si="0"/>
        <v>590.75</v>
      </c>
    </row>
    <row r="67" spans="1:7" x14ac:dyDescent="0.2">
      <c r="A67" s="1">
        <v>65</v>
      </c>
      <c r="B67" s="3">
        <v>1</v>
      </c>
      <c r="C67" s="3" t="s">
        <v>6</v>
      </c>
      <c r="D67" s="3">
        <v>-1</v>
      </c>
      <c r="E67" s="3">
        <v>1</v>
      </c>
      <c r="F67" s="3">
        <v>0.61849316699954204</v>
      </c>
      <c r="G67">
        <f t="shared" ref="G67:G101" si="1">ROUND(F67*1000,2)</f>
        <v>618.49</v>
      </c>
    </row>
    <row r="68" spans="1:7" x14ac:dyDescent="0.2">
      <c r="A68" s="1">
        <v>66</v>
      </c>
      <c r="B68" s="3">
        <v>1</v>
      </c>
      <c r="C68" s="3" t="s">
        <v>6</v>
      </c>
      <c r="D68" s="3">
        <v>-1</v>
      </c>
      <c r="E68" s="3">
        <v>0</v>
      </c>
      <c r="F68" s="3">
        <v>0.45705825000004602</v>
      </c>
      <c r="G68">
        <f t="shared" si="1"/>
        <v>457.06</v>
      </c>
    </row>
    <row r="69" spans="1:7" x14ac:dyDescent="0.2">
      <c r="A69" s="1">
        <v>67</v>
      </c>
      <c r="B69" s="3">
        <v>3</v>
      </c>
      <c r="C69" s="3" t="s">
        <v>5</v>
      </c>
      <c r="D69" s="3">
        <v>3</v>
      </c>
      <c r="E69" s="3">
        <v>1</v>
      </c>
      <c r="F69" s="3">
        <v>0.65164149999964105</v>
      </c>
      <c r="G69">
        <f t="shared" si="1"/>
        <v>651.64</v>
      </c>
    </row>
    <row r="70" spans="1:7" x14ac:dyDescent="0.2">
      <c r="A70" s="1">
        <v>68</v>
      </c>
      <c r="B70" s="3">
        <v>3</v>
      </c>
      <c r="C70" s="3" t="s">
        <v>5</v>
      </c>
      <c r="D70" s="3">
        <v>3</v>
      </c>
      <c r="E70" s="3">
        <v>1</v>
      </c>
      <c r="F70" s="3">
        <v>0.596269333999771</v>
      </c>
      <c r="G70">
        <f t="shared" si="1"/>
        <v>596.27</v>
      </c>
    </row>
    <row r="71" spans="1:7" x14ac:dyDescent="0.2">
      <c r="A71" s="1">
        <v>69</v>
      </c>
      <c r="B71" s="3">
        <v>3</v>
      </c>
      <c r="C71" s="3" t="s">
        <v>5</v>
      </c>
      <c r="D71" s="3">
        <v>3</v>
      </c>
      <c r="E71" s="3">
        <v>1</v>
      </c>
      <c r="F71" s="3">
        <v>0.57819712499986098</v>
      </c>
      <c r="G71">
        <f t="shared" si="1"/>
        <v>578.20000000000005</v>
      </c>
    </row>
    <row r="72" spans="1:7" x14ac:dyDescent="0.2">
      <c r="A72" s="1">
        <v>70</v>
      </c>
      <c r="B72" s="3">
        <v>1</v>
      </c>
      <c r="C72" s="3" t="s">
        <v>6</v>
      </c>
      <c r="D72" s="3">
        <v>-1</v>
      </c>
      <c r="E72" s="3">
        <v>1</v>
      </c>
      <c r="F72" s="3">
        <v>0.68098329199983698</v>
      </c>
      <c r="G72">
        <f t="shared" si="1"/>
        <v>680.98</v>
      </c>
    </row>
    <row r="73" spans="1:7" x14ac:dyDescent="0.2">
      <c r="A73" s="1">
        <v>71</v>
      </c>
      <c r="B73" s="3">
        <v>1</v>
      </c>
      <c r="C73" s="3" t="s">
        <v>5</v>
      </c>
      <c r="D73" s="3">
        <v>1</v>
      </c>
      <c r="E73" s="3">
        <v>1</v>
      </c>
      <c r="F73" s="3">
        <v>0.63548262499989505</v>
      </c>
      <c r="G73">
        <f t="shared" si="1"/>
        <v>635.48</v>
      </c>
    </row>
    <row r="74" spans="1:7" x14ac:dyDescent="0.2">
      <c r="A74" s="1">
        <v>72</v>
      </c>
      <c r="B74" s="3">
        <v>1</v>
      </c>
      <c r="C74" s="3" t="s">
        <v>6</v>
      </c>
      <c r="D74" s="3">
        <v>-1</v>
      </c>
      <c r="E74" s="3">
        <v>0</v>
      </c>
      <c r="F74" s="3">
        <v>1.37736079099977</v>
      </c>
      <c r="G74">
        <f t="shared" si="1"/>
        <v>1377.36</v>
      </c>
    </row>
    <row r="75" spans="1:7" x14ac:dyDescent="0.2">
      <c r="A75" s="1">
        <v>73</v>
      </c>
      <c r="B75" s="3">
        <v>3</v>
      </c>
      <c r="C75" s="3" t="s">
        <v>6</v>
      </c>
      <c r="D75" s="3">
        <v>-3</v>
      </c>
      <c r="E75" s="3">
        <v>1</v>
      </c>
      <c r="F75" s="3">
        <v>0.61880650000057402</v>
      </c>
      <c r="G75">
        <f t="shared" si="1"/>
        <v>618.80999999999995</v>
      </c>
    </row>
    <row r="76" spans="1:7" x14ac:dyDescent="0.2">
      <c r="A76" s="1">
        <v>74</v>
      </c>
      <c r="B76" s="3">
        <v>3</v>
      </c>
      <c r="C76" s="3" t="s">
        <v>5</v>
      </c>
      <c r="D76" s="3">
        <v>3</v>
      </c>
      <c r="E76" s="3">
        <v>1</v>
      </c>
      <c r="F76" s="3">
        <v>0.52665062500000204</v>
      </c>
      <c r="G76">
        <f t="shared" si="1"/>
        <v>526.65</v>
      </c>
    </row>
    <row r="77" spans="1:7" x14ac:dyDescent="0.2">
      <c r="A77" s="1">
        <v>75</v>
      </c>
      <c r="B77" s="3">
        <v>3</v>
      </c>
      <c r="C77" s="3" t="s">
        <v>6</v>
      </c>
      <c r="D77" s="3">
        <v>-3</v>
      </c>
      <c r="E77" s="3">
        <v>1</v>
      </c>
      <c r="F77" s="3">
        <v>0.46889924999959498</v>
      </c>
      <c r="G77">
        <f t="shared" si="1"/>
        <v>468.9</v>
      </c>
    </row>
    <row r="78" spans="1:7" x14ac:dyDescent="0.2">
      <c r="A78" s="1">
        <v>76</v>
      </c>
      <c r="B78" s="3">
        <v>1</v>
      </c>
      <c r="C78" s="3" t="s">
        <v>5</v>
      </c>
      <c r="D78" s="3">
        <v>1</v>
      </c>
      <c r="E78" s="3">
        <v>1</v>
      </c>
      <c r="F78" s="3">
        <v>0.46136649999971302</v>
      </c>
      <c r="G78">
        <f t="shared" si="1"/>
        <v>461.37</v>
      </c>
    </row>
    <row r="79" spans="1:7" x14ac:dyDescent="0.2">
      <c r="A79" s="1">
        <v>77</v>
      </c>
      <c r="B79" s="3">
        <v>1</v>
      </c>
      <c r="C79" s="3" t="s">
        <v>5</v>
      </c>
      <c r="D79" s="3">
        <v>1</v>
      </c>
      <c r="E79" s="3">
        <v>1</v>
      </c>
      <c r="F79" s="3">
        <v>0.87873049999962005</v>
      </c>
      <c r="G79">
        <f t="shared" si="1"/>
        <v>878.73</v>
      </c>
    </row>
    <row r="80" spans="1:7" x14ac:dyDescent="0.2">
      <c r="A80" s="1">
        <v>78</v>
      </c>
      <c r="B80" s="3">
        <v>1</v>
      </c>
      <c r="C80" s="3" t="s">
        <v>5</v>
      </c>
      <c r="D80" s="3">
        <v>1</v>
      </c>
      <c r="E80" s="3">
        <v>1</v>
      </c>
      <c r="F80" s="3">
        <v>0.55113270799938596</v>
      </c>
      <c r="G80">
        <f t="shared" si="1"/>
        <v>551.13</v>
      </c>
    </row>
    <row r="81" spans="1:7" x14ac:dyDescent="0.2">
      <c r="A81" s="1">
        <v>79</v>
      </c>
      <c r="B81" s="3">
        <v>1</v>
      </c>
      <c r="C81" s="3" t="s">
        <v>6</v>
      </c>
      <c r="D81" s="3">
        <v>-1</v>
      </c>
      <c r="E81" s="3">
        <v>1</v>
      </c>
      <c r="F81" s="3">
        <v>0.59769012499964502</v>
      </c>
      <c r="G81">
        <f t="shared" si="1"/>
        <v>597.69000000000005</v>
      </c>
    </row>
    <row r="82" spans="1:7" x14ac:dyDescent="0.2">
      <c r="A82" s="1">
        <v>80</v>
      </c>
      <c r="B82" s="3">
        <v>1</v>
      </c>
      <c r="C82" s="3" t="s">
        <v>5</v>
      </c>
      <c r="D82" s="3">
        <v>1</v>
      </c>
      <c r="E82" s="3">
        <v>1</v>
      </c>
      <c r="F82" s="3">
        <v>0.48777429199981298</v>
      </c>
      <c r="G82">
        <f t="shared" si="1"/>
        <v>487.77</v>
      </c>
    </row>
    <row r="83" spans="1:7" x14ac:dyDescent="0.2">
      <c r="A83" s="1">
        <v>81</v>
      </c>
      <c r="B83" s="3">
        <v>1</v>
      </c>
      <c r="C83" s="3" t="s">
        <v>5</v>
      </c>
      <c r="D83" s="3">
        <v>1</v>
      </c>
      <c r="E83" s="3">
        <v>1</v>
      </c>
      <c r="F83" s="3">
        <v>0.68026687499968796</v>
      </c>
      <c r="G83">
        <f t="shared" si="1"/>
        <v>680.27</v>
      </c>
    </row>
    <row r="84" spans="1:7" x14ac:dyDescent="0.2">
      <c r="A84" s="1">
        <v>82</v>
      </c>
      <c r="B84" s="3">
        <v>1</v>
      </c>
      <c r="C84" s="3" t="s">
        <v>5</v>
      </c>
      <c r="D84" s="3">
        <v>1</v>
      </c>
      <c r="E84" s="3">
        <v>1</v>
      </c>
      <c r="F84" s="3">
        <v>0.586388207999335</v>
      </c>
      <c r="G84">
        <f t="shared" si="1"/>
        <v>586.39</v>
      </c>
    </row>
    <row r="85" spans="1:7" x14ac:dyDescent="0.2">
      <c r="A85" s="1">
        <v>83</v>
      </c>
      <c r="B85" s="3">
        <v>1</v>
      </c>
      <c r="C85" s="3" t="s">
        <v>5</v>
      </c>
      <c r="D85" s="3">
        <v>1</v>
      </c>
      <c r="E85" s="3">
        <v>1</v>
      </c>
      <c r="F85" s="3">
        <v>0.49469450000015103</v>
      </c>
      <c r="G85">
        <f t="shared" si="1"/>
        <v>494.69</v>
      </c>
    </row>
    <row r="86" spans="1:7" x14ac:dyDescent="0.2">
      <c r="A86" s="1">
        <v>84</v>
      </c>
      <c r="B86" s="3">
        <v>1</v>
      </c>
      <c r="C86" s="3" t="s">
        <v>5</v>
      </c>
      <c r="D86" s="3">
        <v>1</v>
      </c>
      <c r="E86" s="3">
        <v>1</v>
      </c>
      <c r="F86" s="3">
        <v>0.50424979200033704</v>
      </c>
      <c r="G86">
        <f t="shared" si="1"/>
        <v>504.25</v>
      </c>
    </row>
    <row r="87" spans="1:7" x14ac:dyDescent="0.2">
      <c r="A87" s="1">
        <v>85</v>
      </c>
      <c r="B87" s="3">
        <v>1</v>
      </c>
      <c r="C87" s="3" t="s">
        <v>6</v>
      </c>
      <c r="D87" s="3">
        <v>-1</v>
      </c>
      <c r="E87" s="3">
        <v>1</v>
      </c>
      <c r="F87" s="3">
        <v>0.48696991599990702</v>
      </c>
      <c r="G87">
        <f t="shared" si="1"/>
        <v>486.97</v>
      </c>
    </row>
    <row r="88" spans="1:7" x14ac:dyDescent="0.2">
      <c r="A88" s="1">
        <v>86</v>
      </c>
      <c r="B88" s="3">
        <v>1</v>
      </c>
      <c r="C88" s="3" t="s">
        <v>6</v>
      </c>
      <c r="D88" s="3">
        <v>-1</v>
      </c>
      <c r="E88" s="3">
        <v>1</v>
      </c>
      <c r="F88" s="3">
        <v>0.58508283300034203</v>
      </c>
      <c r="G88">
        <f t="shared" si="1"/>
        <v>585.08000000000004</v>
      </c>
    </row>
    <row r="89" spans="1:7" x14ac:dyDescent="0.2">
      <c r="A89" s="1">
        <v>87</v>
      </c>
      <c r="B89" s="3">
        <v>1</v>
      </c>
      <c r="C89" s="3" t="s">
        <v>5</v>
      </c>
      <c r="D89" s="3">
        <v>1</v>
      </c>
      <c r="E89" s="3">
        <v>1</v>
      </c>
      <c r="F89" s="3">
        <v>0.51066133399945102</v>
      </c>
      <c r="G89">
        <f t="shared" si="1"/>
        <v>510.66</v>
      </c>
    </row>
    <row r="90" spans="1:7" x14ac:dyDescent="0.2">
      <c r="A90" s="1">
        <v>88</v>
      </c>
      <c r="B90" s="3">
        <v>1</v>
      </c>
      <c r="C90" s="3" t="s">
        <v>6</v>
      </c>
      <c r="D90" s="3">
        <v>-1</v>
      </c>
      <c r="E90" s="3">
        <v>1</v>
      </c>
      <c r="F90" s="3">
        <v>0.55215883300024904</v>
      </c>
      <c r="G90">
        <f t="shared" si="1"/>
        <v>552.16</v>
      </c>
    </row>
    <row r="91" spans="1:7" x14ac:dyDescent="0.2">
      <c r="A91" s="1">
        <v>89</v>
      </c>
      <c r="B91" s="3">
        <v>1</v>
      </c>
      <c r="C91" s="3" t="s">
        <v>6</v>
      </c>
      <c r="D91" s="3">
        <v>-1</v>
      </c>
      <c r="E91" s="3">
        <v>1</v>
      </c>
      <c r="F91" s="3">
        <v>0.63903233400014903</v>
      </c>
      <c r="G91">
        <f t="shared" si="1"/>
        <v>639.03</v>
      </c>
    </row>
    <row r="92" spans="1:7" x14ac:dyDescent="0.2">
      <c r="A92" s="1">
        <v>90</v>
      </c>
      <c r="B92" s="3">
        <v>1</v>
      </c>
      <c r="C92" s="3" t="s">
        <v>6</v>
      </c>
      <c r="D92" s="3">
        <v>-1</v>
      </c>
      <c r="E92" s="3">
        <v>1</v>
      </c>
      <c r="F92" s="3">
        <v>0.50629954099986196</v>
      </c>
      <c r="G92">
        <f t="shared" si="1"/>
        <v>506.3</v>
      </c>
    </row>
    <row r="93" spans="1:7" x14ac:dyDescent="0.2">
      <c r="A93" s="1">
        <v>91</v>
      </c>
      <c r="B93" s="3">
        <v>1</v>
      </c>
      <c r="C93" s="3" t="s">
        <v>6</v>
      </c>
      <c r="D93" s="3">
        <v>-1</v>
      </c>
      <c r="E93" s="3">
        <v>1</v>
      </c>
      <c r="F93" s="3">
        <v>0.52959287500016194</v>
      </c>
      <c r="G93">
        <f t="shared" si="1"/>
        <v>529.59</v>
      </c>
    </row>
    <row r="94" spans="1:7" x14ac:dyDescent="0.2">
      <c r="A94" s="1">
        <v>92</v>
      </c>
      <c r="B94" s="3">
        <v>1</v>
      </c>
      <c r="C94" s="3" t="s">
        <v>5</v>
      </c>
      <c r="D94" s="3">
        <v>1</v>
      </c>
      <c r="E94" s="3">
        <v>0</v>
      </c>
      <c r="F94" s="3">
        <v>0.73474087500017105</v>
      </c>
      <c r="G94">
        <f t="shared" si="1"/>
        <v>734.74</v>
      </c>
    </row>
    <row r="95" spans="1:7" x14ac:dyDescent="0.2">
      <c r="A95" s="1">
        <v>93</v>
      </c>
      <c r="B95" s="3">
        <v>3</v>
      </c>
      <c r="C95" s="3" t="s">
        <v>5</v>
      </c>
      <c r="D95" s="3">
        <v>3</v>
      </c>
      <c r="E95" s="3">
        <v>1</v>
      </c>
      <c r="F95" s="3">
        <v>0.58483824999984801</v>
      </c>
      <c r="G95">
        <f t="shared" si="1"/>
        <v>584.84</v>
      </c>
    </row>
    <row r="96" spans="1:7" x14ac:dyDescent="0.2">
      <c r="A96" s="1">
        <v>94</v>
      </c>
      <c r="B96" s="3">
        <v>3</v>
      </c>
      <c r="C96" s="3" t="s">
        <v>5</v>
      </c>
      <c r="D96" s="3">
        <v>3</v>
      </c>
      <c r="E96" s="3">
        <v>1</v>
      </c>
      <c r="F96" s="3">
        <v>0.45369387499977198</v>
      </c>
      <c r="G96">
        <f t="shared" si="1"/>
        <v>453.69</v>
      </c>
    </row>
    <row r="97" spans="1:7" x14ac:dyDescent="0.2">
      <c r="A97" s="1">
        <v>95</v>
      </c>
      <c r="B97" s="3">
        <v>3</v>
      </c>
      <c r="C97" s="3" t="s">
        <v>6</v>
      </c>
      <c r="D97" s="3">
        <v>-3</v>
      </c>
      <c r="E97" s="3">
        <v>1</v>
      </c>
      <c r="F97" s="3">
        <v>0.56872408399976904</v>
      </c>
      <c r="G97">
        <f t="shared" si="1"/>
        <v>568.72</v>
      </c>
    </row>
    <row r="98" spans="1:7" x14ac:dyDescent="0.2">
      <c r="A98" s="1">
        <v>96</v>
      </c>
      <c r="B98" s="3">
        <v>1</v>
      </c>
      <c r="C98" s="3" t="s">
        <v>6</v>
      </c>
      <c r="D98" s="3">
        <v>-1</v>
      </c>
      <c r="E98" s="3">
        <v>1</v>
      </c>
      <c r="F98" s="3">
        <v>0.48170237500016799</v>
      </c>
      <c r="G98">
        <f t="shared" si="1"/>
        <v>481.7</v>
      </c>
    </row>
    <row r="99" spans="1:7" x14ac:dyDescent="0.2">
      <c r="A99" s="1">
        <v>97</v>
      </c>
      <c r="B99" s="3">
        <v>1</v>
      </c>
      <c r="C99" s="3" t="s">
        <v>5</v>
      </c>
      <c r="D99" s="3">
        <v>1</v>
      </c>
      <c r="E99" s="3">
        <v>1</v>
      </c>
      <c r="F99" s="3">
        <v>0.72216962499987902</v>
      </c>
      <c r="G99">
        <f t="shared" si="1"/>
        <v>722.17</v>
      </c>
    </row>
    <row r="100" spans="1:7" x14ac:dyDescent="0.2">
      <c r="A100" s="1">
        <v>98</v>
      </c>
      <c r="B100" s="3">
        <v>1</v>
      </c>
      <c r="C100" s="3" t="s">
        <v>6</v>
      </c>
      <c r="D100" s="3">
        <v>-1</v>
      </c>
      <c r="E100" s="3">
        <v>0</v>
      </c>
      <c r="F100" s="3">
        <v>0.55381274999945196</v>
      </c>
      <c r="G100">
        <f t="shared" si="1"/>
        <v>553.80999999999995</v>
      </c>
    </row>
    <row r="101" spans="1:7" x14ac:dyDescent="0.2">
      <c r="A101" s="1">
        <v>99</v>
      </c>
      <c r="B101" s="3">
        <v>3</v>
      </c>
      <c r="C101" s="3" t="s">
        <v>6</v>
      </c>
      <c r="D101" s="3">
        <v>-3</v>
      </c>
      <c r="E101" s="3">
        <v>1</v>
      </c>
      <c r="F101" s="3">
        <v>0.53586137500042197</v>
      </c>
      <c r="G101">
        <f t="shared" si="1"/>
        <v>535.86</v>
      </c>
    </row>
    <row r="102" spans="1:7" x14ac:dyDescent="0.2">
      <c r="A102" s="2"/>
      <c r="B102" s="2"/>
      <c r="C102" s="2"/>
      <c r="D102" s="2"/>
      <c r="E102" s="2"/>
      <c r="F10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Tanavde</dc:creator>
  <cp:lastModifiedBy>Manas Tanavde</cp:lastModifiedBy>
  <dcterms:created xsi:type="dcterms:W3CDTF">2026-09-27T19:35:11Z</dcterms:created>
  <dcterms:modified xsi:type="dcterms:W3CDTF">2026-09-27T20:28:26Z</dcterms:modified>
</cp:coreProperties>
</file>